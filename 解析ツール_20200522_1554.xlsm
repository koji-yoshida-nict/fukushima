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4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7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8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cno9\OneDrive\ドキュメント\Business\ART\R_jigyou\20200401\実証試験\解析\"/>
    </mc:Choice>
  </mc:AlternateContent>
  <xr:revisionPtr revIDLastSave="0" documentId="13_ncr:1_{93BC2EBC-A15A-44FB-B66D-F07D3D17F492}" xr6:coauthVersionLast="45" xr6:coauthVersionMax="45" xr10:uidLastSave="{00000000-0000-0000-0000-000000000000}"/>
  <bookViews>
    <workbookView xWindow="-98" yWindow="-98" windowWidth="20715" windowHeight="13276" tabRatio="840" xr2:uid="{F1A0A97F-5087-4BD6-9807-FE9EDFEB59C8}"/>
  </bookViews>
  <sheets>
    <sheet name="基準点計測データ" sheetId="3678" r:id="rId1"/>
    <sheet name="基準点データまとめ" sheetId="8564" r:id="rId2"/>
    <sheet name="基準点データグラフ（緯度）" sheetId="8584" r:id="rId3"/>
    <sheet name="基準点データグラフ（経度）" sheetId="8585" r:id="rId4"/>
    <sheet name="基準点データグラフ（直線）" sheetId="8586" r:id="rId5"/>
    <sheet name="走行データまとめ" sheetId="8587" r:id="rId6"/>
    <sheet name="A10km" sheetId="8725" r:id="rId7"/>
    <sheet name="B20km" sheetId="8726" r:id="rId8"/>
    <sheet name="C10km" sheetId="8727" r:id="rId9"/>
    <sheet name="D10km" sheetId="8728" r:id="rId10"/>
    <sheet name="E10km" sheetId="8729" r:id="rId11"/>
    <sheet name="F20km" sheetId="8730" r:id="rId12"/>
    <sheet name="G40km" sheetId="8731" r:id="rId13"/>
    <sheet name="H10km" sheetId="8732" r:id="rId14"/>
    <sheet name="I20km" sheetId="8733" r:id="rId15"/>
    <sheet name="J10km" sheetId="8734" r:id="rId16"/>
    <sheet name="K20km" sheetId="8735" r:id="rId17"/>
    <sheet name="L30km" sheetId="8736" r:id="rId18"/>
    <sheet name="M20km" sheetId="8737" r:id="rId19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56" i="8587" l="1"/>
  <c r="Q355" i="8587"/>
  <c r="Q340" i="8587"/>
  <c r="Q339" i="8587"/>
  <c r="Q354" i="8587"/>
  <c r="Q353" i="8587"/>
  <c r="Q360" i="8587"/>
  <c r="Q358" i="8587"/>
  <c r="Q352" i="8587"/>
  <c r="Q361" i="8587"/>
  <c r="Q359" i="8587"/>
  <c r="Q357" i="8587"/>
  <c r="Q351" i="8587"/>
  <c r="Q350" i="8587"/>
  <c r="Q349" i="8587"/>
  <c r="Q348" i="8587"/>
  <c r="Q347" i="8587"/>
  <c r="Q346" i="8587"/>
  <c r="Q345" i="8587"/>
  <c r="Q344" i="8587"/>
  <c r="Q343" i="8587"/>
  <c r="Q342" i="8587"/>
  <c r="Q341" i="8587"/>
  <c r="Q330" i="8587"/>
  <c r="Q329" i="8587"/>
  <c r="Q320" i="8587"/>
  <c r="Q319" i="8587"/>
  <c r="Q229" i="8587"/>
  <c r="Q226" i="8587"/>
  <c r="Q180" i="8587"/>
  <c r="Q179" i="8587"/>
  <c r="Q174" i="8587"/>
  <c r="Q328" i="8587"/>
  <c r="Q327" i="8587"/>
  <c r="Q230" i="8587"/>
  <c r="Q228" i="8587"/>
  <c r="Q225" i="8587"/>
  <c r="Q212" i="8587"/>
  <c r="Q211" i="8587"/>
  <c r="Q181" i="8587"/>
  <c r="Q173" i="8587"/>
  <c r="Q172" i="8587"/>
  <c r="Q326" i="8587"/>
  <c r="Q325" i="8587"/>
  <c r="Q318" i="8587"/>
  <c r="Q224" i="8587"/>
  <c r="Q223" i="8587"/>
  <c r="Q210" i="8587"/>
  <c r="Q209" i="8587"/>
  <c r="Q171" i="8587"/>
  <c r="Q170" i="8587"/>
  <c r="Q169" i="8587"/>
  <c r="Q324" i="8587"/>
  <c r="Q317" i="8587"/>
  <c r="Q316" i="8587"/>
  <c r="Q280" i="8587"/>
  <c r="Q278" i="8587"/>
  <c r="Q276" i="8587"/>
  <c r="Q274" i="8587"/>
  <c r="Q272" i="8587"/>
  <c r="Q270" i="8587"/>
  <c r="Q268" i="8587"/>
  <c r="Q266" i="8587"/>
  <c r="Q264" i="8587"/>
  <c r="Q261" i="8587"/>
  <c r="Q251" i="8587"/>
  <c r="Q249" i="8587"/>
  <c r="Q247" i="8587"/>
  <c r="Q245" i="8587"/>
  <c r="Q243" i="8587"/>
  <c r="Q241" i="8587"/>
  <c r="Q239" i="8587"/>
  <c r="Q238" i="8587"/>
  <c r="Q237" i="8587"/>
  <c r="Q236" i="8587"/>
  <c r="Q235" i="8587"/>
  <c r="Q234" i="8587"/>
  <c r="Q233" i="8587"/>
  <c r="Q232" i="8587"/>
  <c r="Q231" i="8587"/>
  <c r="Q222" i="8587"/>
  <c r="Q208" i="8587"/>
  <c r="Q207" i="8587"/>
  <c r="Q168" i="8587"/>
  <c r="Q167" i="8587"/>
  <c r="Q154" i="8587"/>
  <c r="Q153" i="8587"/>
  <c r="Q152" i="8587"/>
  <c r="Q338" i="8587"/>
  <c r="Q337" i="8587"/>
  <c r="Q323" i="8587"/>
  <c r="Q315" i="8587"/>
  <c r="Q314" i="8587"/>
  <c r="Q313" i="8587"/>
  <c r="Q304" i="8587"/>
  <c r="Q303" i="8587"/>
  <c r="Q302" i="8587"/>
  <c r="Q301" i="8587"/>
  <c r="Q300" i="8587"/>
  <c r="Q299" i="8587"/>
  <c r="Q298" i="8587"/>
  <c r="Q297" i="8587"/>
  <c r="Q296" i="8587"/>
  <c r="Q295" i="8587"/>
  <c r="Q294" i="8587"/>
  <c r="Q293" i="8587"/>
  <c r="Q292" i="8587"/>
  <c r="Q291" i="8587"/>
  <c r="Q290" i="8587"/>
  <c r="Q289" i="8587"/>
  <c r="Q288" i="8587"/>
  <c r="Q287" i="8587"/>
  <c r="Q286" i="8587"/>
  <c r="Q285" i="8587"/>
  <c r="Q284" i="8587"/>
  <c r="Q283" i="8587"/>
  <c r="Q282" i="8587"/>
  <c r="Q281" i="8587"/>
  <c r="Q279" i="8587"/>
  <c r="Q277" i="8587"/>
  <c r="Q275" i="8587"/>
  <c r="Q273" i="8587"/>
  <c r="Q271" i="8587"/>
  <c r="Q269" i="8587"/>
  <c r="Q267" i="8587"/>
  <c r="Q265" i="8587"/>
  <c r="Q263" i="8587"/>
  <c r="Q262" i="8587"/>
  <c r="Q260" i="8587"/>
  <c r="Q259" i="8587"/>
  <c r="Q258" i="8587"/>
  <c r="Q257" i="8587"/>
  <c r="Q256" i="8587"/>
  <c r="Q255" i="8587"/>
  <c r="Q254" i="8587"/>
  <c r="Q253" i="8587"/>
  <c r="Q252" i="8587"/>
  <c r="Q250" i="8587"/>
  <c r="Q248" i="8587"/>
  <c r="Q246" i="8587"/>
  <c r="Q244" i="8587"/>
  <c r="Q242" i="8587"/>
  <c r="Q240" i="8587"/>
  <c r="Q227" i="8587"/>
  <c r="Q221" i="8587"/>
  <c r="Q220" i="8587"/>
  <c r="Q206" i="8587"/>
  <c r="Q205" i="8587"/>
  <c r="Q178" i="8587"/>
  <c r="Q219" i="8587"/>
  <c r="Q218" i="8587"/>
  <c r="Q204" i="8587"/>
  <c r="Q203" i="8587"/>
  <c r="Q336" i="8587"/>
  <c r="Q312" i="8587"/>
  <c r="Q217" i="8587"/>
  <c r="Q202" i="8587"/>
  <c r="Q201" i="8587"/>
  <c r="Q335" i="8587"/>
  <c r="Q216" i="8587"/>
  <c r="Q200" i="8587"/>
  <c r="Q199" i="8587"/>
  <c r="Q198" i="8587"/>
  <c r="Q166" i="8587"/>
  <c r="Q334" i="8587"/>
  <c r="Q197" i="8587"/>
  <c r="Q196" i="8587"/>
  <c r="Q195" i="8587"/>
  <c r="Q177" i="8587"/>
  <c r="Q165" i="8587"/>
  <c r="Q164" i="8587"/>
  <c r="Q322" i="8587"/>
  <c r="Q311" i="8587"/>
  <c r="Q310" i="8587"/>
  <c r="Q215" i="8587"/>
  <c r="Q194" i="8587"/>
  <c r="Q193" i="8587"/>
  <c r="Q163" i="8587"/>
  <c r="Q333" i="8587"/>
  <c r="Q321" i="8587"/>
  <c r="Q309" i="8587"/>
  <c r="Q308" i="8587"/>
  <c r="Q307" i="8587"/>
  <c r="Q214" i="8587"/>
  <c r="Q192" i="8587"/>
  <c r="Q191" i="8587"/>
  <c r="Q162" i="8587"/>
  <c r="Q161" i="8587"/>
  <c r="Q190" i="8587"/>
  <c r="Q189" i="8587"/>
  <c r="Q160" i="8587"/>
  <c r="Q159" i="8587"/>
  <c r="Q188" i="8587"/>
  <c r="Q187" i="8587"/>
  <c r="Q176" i="8587"/>
  <c r="Q158" i="8587"/>
  <c r="Q186" i="8587"/>
  <c r="Q175" i="8587"/>
  <c r="Q157" i="8587"/>
  <c r="Q332" i="8587"/>
  <c r="Q185" i="8587"/>
  <c r="Q184" i="8587"/>
  <c r="Q156" i="8587"/>
  <c r="Q155" i="8587"/>
  <c r="Q331" i="8587"/>
  <c r="Q306" i="8587"/>
  <c r="Q305" i="8587"/>
  <c r="Q213" i="8587"/>
  <c r="Q183" i="8587"/>
  <c r="Q182" i="8587"/>
  <c r="Q131" i="8587"/>
  <c r="Q130" i="8587"/>
  <c r="Q113" i="8587"/>
  <c r="Q93" i="8587"/>
  <c r="Q92" i="8587"/>
  <c r="Q91" i="8587"/>
  <c r="Q75" i="8587"/>
  <c r="Q74" i="8587"/>
  <c r="Q150" i="8587"/>
  <c r="Q132" i="8587"/>
  <c r="Q112" i="8587"/>
  <c r="Q94" i="8587"/>
  <c r="Q90" i="8587"/>
  <c r="Q89" i="8587"/>
  <c r="Q76" i="8587"/>
  <c r="Q73" i="8587"/>
  <c r="Q151" i="8587"/>
  <c r="Q129" i="8587"/>
  <c r="Q128" i="8587"/>
  <c r="Q111" i="8587"/>
  <c r="Q110" i="8587"/>
  <c r="Q88" i="8587"/>
  <c r="Q87" i="8587"/>
  <c r="Q134" i="8587"/>
  <c r="Q127" i="8587"/>
  <c r="Q109" i="8587"/>
  <c r="Q86" i="8587"/>
  <c r="Q85" i="8587"/>
  <c r="Q72" i="8587"/>
  <c r="Q149" i="8587"/>
  <c r="Q133" i="8587"/>
  <c r="Q126" i="8587"/>
  <c r="Q108" i="8587"/>
  <c r="Q84" i="8587"/>
  <c r="Q83" i="8587"/>
  <c r="Q82" i="8587"/>
  <c r="Q71" i="8587"/>
  <c r="Q70" i="8587"/>
  <c r="Q148" i="8587"/>
  <c r="Q125" i="8587"/>
  <c r="Q107" i="8587"/>
  <c r="Q106" i="8587"/>
  <c r="Q69" i="8587"/>
  <c r="Q68" i="8587"/>
  <c r="Q124" i="8587"/>
  <c r="Q105" i="8587"/>
  <c r="Q67" i="8587"/>
  <c r="Q66" i="8587"/>
  <c r="Q147" i="8587"/>
  <c r="Q123" i="8587"/>
  <c r="Q122" i="8587"/>
  <c r="Q104" i="8587"/>
  <c r="Q65" i="8587"/>
  <c r="Q146" i="8587"/>
  <c r="Q121" i="8587"/>
  <c r="Q103" i="8587"/>
  <c r="Q145" i="8587"/>
  <c r="Q136" i="8587"/>
  <c r="Q120" i="8587"/>
  <c r="Q102" i="8587"/>
  <c r="Q64" i="8587"/>
  <c r="Q144" i="8587"/>
  <c r="Q137" i="8587"/>
  <c r="Q135" i="8587"/>
  <c r="Q119" i="8587"/>
  <c r="Q101" i="8587"/>
  <c r="Q63" i="8587"/>
  <c r="Q62" i="8587"/>
  <c r="Q143" i="8587"/>
  <c r="Q118" i="8587"/>
  <c r="Q100" i="8587"/>
  <c r="Q142" i="8587"/>
  <c r="Q117" i="8587"/>
  <c r="Q116" i="8587"/>
  <c r="Q99" i="8587"/>
  <c r="Q141" i="8587"/>
  <c r="Q140" i="8587"/>
  <c r="Q115" i="8587"/>
  <c r="Q98" i="8587"/>
  <c r="Q97" i="8587"/>
  <c r="Q81" i="8587"/>
  <c r="Q80" i="8587"/>
  <c r="Q139" i="8587"/>
  <c r="Q138" i="8587"/>
  <c r="Q114" i="8587"/>
  <c r="Q96" i="8587"/>
  <c r="Q95" i="8587"/>
  <c r="Q79" i="8587"/>
  <c r="Q78" i="8587"/>
  <c r="Q77" i="8587"/>
  <c r="Q61" i="8587"/>
  <c r="Q60" i="8587"/>
  <c r="Q59" i="8587"/>
  <c r="Q58" i="8587"/>
  <c r="Q56" i="8587"/>
  <c r="Q55" i="8587"/>
  <c r="Q44" i="8587"/>
  <c r="Q28" i="8587"/>
  <c r="Q57" i="8587"/>
  <c r="Q43" i="8587"/>
  <c r="Q27" i="8587"/>
  <c r="Q26" i="8587"/>
  <c r="Q42" i="8587"/>
  <c r="Q25" i="8587"/>
  <c r="Q24" i="8587"/>
  <c r="Q23" i="8587"/>
  <c r="Q54" i="8587"/>
  <c r="Q41" i="8587"/>
  <c r="Q22" i="8587"/>
  <c r="Q21" i="8587"/>
  <c r="Q53" i="8587"/>
  <c r="Q40" i="8587"/>
  <c r="Q20" i="8587"/>
  <c r="Q19" i="8587"/>
  <c r="Q39" i="8587"/>
  <c r="Q18" i="8587"/>
  <c r="Q17" i="8587"/>
  <c r="Q52" i="8587"/>
  <c r="Q38" i="8587"/>
  <c r="Q16" i="8587"/>
  <c r="Q51" i="8587"/>
  <c r="Q37" i="8587"/>
  <c r="Q15" i="8587"/>
  <c r="Q36" i="8587"/>
  <c r="Q50" i="8587"/>
  <c r="Q35" i="8587"/>
  <c r="Q14" i="8587"/>
  <c r="Q49" i="8587"/>
  <c r="Q48" i="8587"/>
  <c r="Q34" i="8587"/>
  <c r="Q33" i="8587"/>
  <c r="Q13" i="8587"/>
  <c r="Q12" i="8587"/>
  <c r="Q32" i="8587"/>
  <c r="Q11" i="8587"/>
  <c r="Q31" i="8587"/>
  <c r="Q10" i="8587"/>
  <c r="Q9" i="8587"/>
  <c r="Q8" i="8587"/>
  <c r="Q47" i="8587"/>
  <c r="Q46" i="8587"/>
  <c r="Q30" i="8587"/>
  <c r="Q7" i="8587"/>
  <c r="Q6" i="8587"/>
  <c r="Q5" i="8587"/>
  <c r="Q45" i="8587"/>
  <c r="Q29" i="8587"/>
  <c r="Q4" i="8587"/>
  <c r="Q3" i="8587"/>
  <c r="Q2" i="8587"/>
  <c r="F1" i="8586"/>
  <c r="C2" i="8586"/>
  <c r="C3" i="8586"/>
  <c r="C4" i="8586"/>
  <c r="C5" i="8586"/>
  <c r="C6" i="8586"/>
  <c r="C7" i="8586"/>
  <c r="C8" i="8586"/>
  <c r="C9" i="8586"/>
  <c r="C10" i="8586"/>
  <c r="C11" i="8586"/>
  <c r="C12" i="8586"/>
  <c r="C13" i="8586"/>
  <c r="C14" i="8586"/>
  <c r="C15" i="8586"/>
  <c r="C16" i="8586"/>
  <c r="C17" i="8586"/>
  <c r="C18" i="8586"/>
  <c r="C19" i="8586"/>
  <c r="C20" i="8586"/>
  <c r="C21" i="8586"/>
  <c r="C22" i="8586"/>
  <c r="C23" i="8586"/>
  <c r="C24" i="8586"/>
  <c r="C25" i="8586"/>
  <c r="C26" i="8586"/>
  <c r="C27" i="8586"/>
  <c r="C28" i="8586"/>
  <c r="C29" i="8586"/>
  <c r="C30" i="8586"/>
  <c r="C31" i="8586"/>
  <c r="C32" i="8586"/>
  <c r="C33" i="8586"/>
  <c r="C34" i="8586"/>
  <c r="C35" i="8586"/>
  <c r="C36" i="8586"/>
  <c r="C37" i="8586"/>
  <c r="C38" i="8586"/>
  <c r="C39" i="8586"/>
  <c r="C40" i="8586"/>
  <c r="C41" i="8586"/>
  <c r="C42" i="8586"/>
  <c r="C43" i="8586"/>
  <c r="C44" i="8586"/>
  <c r="C45" i="8586"/>
  <c r="C46" i="8586"/>
  <c r="C47" i="8586"/>
  <c r="B2" i="8586"/>
  <c r="B3" i="8586"/>
  <c r="B4" i="8586"/>
  <c r="B5" i="8586"/>
  <c r="B6" i="8586"/>
  <c r="B7" i="8586"/>
  <c r="B8" i="8586"/>
  <c r="B9" i="8586"/>
  <c r="B10" i="8586"/>
  <c r="B11" i="8586"/>
  <c r="B12" i="8586"/>
  <c r="B13" i="8586"/>
  <c r="B14" i="8586"/>
  <c r="B15" i="8586"/>
  <c r="B16" i="8586"/>
  <c r="B17" i="8586"/>
  <c r="B18" i="8586"/>
  <c r="B19" i="8586"/>
  <c r="B20" i="8586"/>
  <c r="B21" i="8586"/>
  <c r="B22" i="8586"/>
  <c r="B23" i="8586"/>
  <c r="B24" i="8586"/>
  <c r="B25" i="8586"/>
  <c r="B26" i="8586"/>
  <c r="B27" i="8586"/>
  <c r="B28" i="8586"/>
  <c r="B29" i="8586"/>
  <c r="B30" i="8586"/>
  <c r="B31" i="8586"/>
  <c r="B32" i="8586"/>
  <c r="B33" i="8586"/>
  <c r="B34" i="8586"/>
  <c r="B35" i="8586"/>
  <c r="B36" i="8586"/>
  <c r="B37" i="8586"/>
  <c r="B38" i="8586"/>
  <c r="B39" i="8586"/>
  <c r="B40" i="8586"/>
  <c r="B41" i="8586"/>
  <c r="B42" i="8586"/>
  <c r="B43" i="8586"/>
  <c r="B44" i="8586"/>
  <c r="B45" i="8586"/>
  <c r="B46" i="8586"/>
  <c r="B47" i="8586"/>
  <c r="A47" i="8586"/>
  <c r="A46" i="8586"/>
  <c r="A45" i="8586"/>
  <c r="A44" i="8586"/>
  <c r="A43" i="8586"/>
  <c r="A42" i="8586"/>
  <c r="A41" i="8586"/>
  <c r="A40" i="8586"/>
  <c r="A39" i="8586"/>
  <c r="A38" i="8586"/>
  <c r="A37" i="8586"/>
  <c r="A36" i="8586"/>
  <c r="A35" i="8586"/>
  <c r="A34" i="8586"/>
  <c r="A33" i="8586"/>
  <c r="A32" i="8586"/>
  <c r="A31" i="8586"/>
  <c r="A30" i="8586"/>
  <c r="A29" i="8586"/>
  <c r="A28" i="8586"/>
  <c r="A27" i="8586"/>
  <c r="A26" i="8586"/>
  <c r="A25" i="8586"/>
  <c r="A24" i="8586"/>
  <c r="A23" i="8586"/>
  <c r="A22" i="8586"/>
  <c r="A21" i="8586"/>
  <c r="A20" i="8586"/>
  <c r="A19" i="8586"/>
  <c r="A18" i="8586"/>
  <c r="A17" i="8586"/>
  <c r="A16" i="8586"/>
  <c r="A15" i="8586"/>
  <c r="A14" i="8586"/>
  <c r="A13" i="8586"/>
  <c r="A12" i="8586"/>
  <c r="A11" i="8586"/>
  <c r="A10" i="8586"/>
  <c r="A9" i="8586"/>
  <c r="A8" i="8586"/>
  <c r="A7" i="8586"/>
  <c r="A6" i="8586"/>
  <c r="A5" i="8586"/>
  <c r="A4" i="8586"/>
  <c r="A3" i="8586"/>
  <c r="F1" i="8585"/>
  <c r="C2" i="8585"/>
  <c r="C3" i="8585"/>
  <c r="C4" i="8585"/>
  <c r="C5" i="8585"/>
  <c r="C6" i="8585"/>
  <c r="C7" i="8585"/>
  <c r="C8" i="8585"/>
  <c r="C9" i="8585"/>
  <c r="C10" i="8585"/>
  <c r="C11" i="8585"/>
  <c r="C12" i="8585"/>
  <c r="C13" i="8585"/>
  <c r="C14" i="8585"/>
  <c r="C15" i="8585"/>
  <c r="C16" i="8585"/>
  <c r="C17" i="8585"/>
  <c r="C18" i="8585"/>
  <c r="C19" i="8585"/>
  <c r="C20" i="8585"/>
  <c r="C21" i="8585"/>
  <c r="C22" i="8585"/>
  <c r="C23" i="8585"/>
  <c r="C24" i="8585"/>
  <c r="C25" i="8585"/>
  <c r="C26" i="8585"/>
  <c r="C27" i="8585"/>
  <c r="C28" i="8585"/>
  <c r="C29" i="8585"/>
  <c r="C30" i="8585"/>
  <c r="C31" i="8585"/>
  <c r="C32" i="8585"/>
  <c r="C33" i="8585"/>
  <c r="C34" i="8585"/>
  <c r="C35" i="8585"/>
  <c r="C36" i="8585"/>
  <c r="C37" i="8585"/>
  <c r="C38" i="8585"/>
  <c r="C39" i="8585"/>
  <c r="C40" i="8585"/>
  <c r="C41" i="8585"/>
  <c r="C42" i="8585"/>
  <c r="C43" i="8585"/>
  <c r="C44" i="8585"/>
  <c r="C45" i="8585"/>
  <c r="C46" i="8585"/>
  <c r="C47" i="8585"/>
  <c r="C48" i="8585"/>
  <c r="C49" i="8585"/>
  <c r="C50" i="8585"/>
  <c r="C51" i="8585"/>
  <c r="C52" i="8585"/>
  <c r="C53" i="8585"/>
  <c r="C54" i="8585"/>
  <c r="C55" i="8585"/>
  <c r="B2" i="8585"/>
  <c r="B3" i="8585"/>
  <c r="B4" i="8585"/>
  <c r="B5" i="8585"/>
  <c r="B6" i="8585"/>
  <c r="B7" i="8585"/>
  <c r="B8" i="8585"/>
  <c r="B9" i="8585"/>
  <c r="B10" i="8585"/>
  <c r="B11" i="8585"/>
  <c r="B12" i="8585"/>
  <c r="B13" i="8585"/>
  <c r="B14" i="8585"/>
  <c r="B15" i="8585"/>
  <c r="B16" i="8585"/>
  <c r="B17" i="8585"/>
  <c r="B18" i="8585"/>
  <c r="B19" i="8585"/>
  <c r="B20" i="8585"/>
  <c r="B21" i="8585"/>
  <c r="B22" i="8585"/>
  <c r="B23" i="8585"/>
  <c r="B24" i="8585"/>
  <c r="B25" i="8585"/>
  <c r="B26" i="8585"/>
  <c r="B27" i="8585"/>
  <c r="B28" i="8585"/>
  <c r="B29" i="8585"/>
  <c r="B30" i="8585"/>
  <c r="B31" i="8585"/>
  <c r="B32" i="8585"/>
  <c r="B33" i="8585"/>
  <c r="B34" i="8585"/>
  <c r="B35" i="8585"/>
  <c r="B36" i="8585"/>
  <c r="B37" i="8585"/>
  <c r="B38" i="8585"/>
  <c r="B39" i="8585"/>
  <c r="B40" i="8585"/>
  <c r="B41" i="8585"/>
  <c r="B42" i="8585"/>
  <c r="B43" i="8585"/>
  <c r="B44" i="8585"/>
  <c r="B45" i="8585"/>
  <c r="B46" i="8585"/>
  <c r="B47" i="8585"/>
  <c r="B48" i="8585"/>
  <c r="B49" i="8585"/>
  <c r="B50" i="8585"/>
  <c r="B51" i="8585"/>
  <c r="B52" i="8585"/>
  <c r="B53" i="8585"/>
  <c r="B54" i="8585"/>
  <c r="B55" i="8585"/>
  <c r="A55" i="8585"/>
  <c r="A54" i="8585"/>
  <c r="A53" i="8585"/>
  <c r="A52" i="8585"/>
  <c r="A51" i="8585"/>
  <c r="A50" i="8585"/>
  <c r="A49" i="8585"/>
  <c r="A48" i="8585"/>
  <c r="A47" i="8585"/>
  <c r="A46" i="8585"/>
  <c r="A45" i="8585"/>
  <c r="A44" i="8585"/>
  <c r="A43" i="8585"/>
  <c r="A42" i="8585"/>
  <c r="A41" i="8585"/>
  <c r="A40" i="8585"/>
  <c r="A39" i="8585"/>
  <c r="A38" i="8585"/>
  <c r="A37" i="8585"/>
  <c r="A36" i="8585"/>
  <c r="A35" i="8585"/>
  <c r="A34" i="8585"/>
  <c r="A33" i="8585"/>
  <c r="A32" i="8585"/>
  <c r="A31" i="8585"/>
  <c r="A30" i="8585"/>
  <c r="A29" i="8585"/>
  <c r="A28" i="8585"/>
  <c r="A27" i="8585"/>
  <c r="A26" i="8585"/>
  <c r="A25" i="8585"/>
  <c r="A24" i="8585"/>
  <c r="A23" i="8585"/>
  <c r="A22" i="8585"/>
  <c r="A21" i="8585"/>
  <c r="A20" i="8585"/>
  <c r="A19" i="8585"/>
  <c r="A18" i="8585"/>
  <c r="A17" i="8585"/>
  <c r="A16" i="8585"/>
  <c r="A15" i="8585"/>
  <c r="A14" i="8585"/>
  <c r="A13" i="8585"/>
  <c r="A12" i="8585"/>
  <c r="A11" i="8585"/>
  <c r="A10" i="8585"/>
  <c r="A9" i="8585"/>
  <c r="A8" i="8585"/>
  <c r="A7" i="8585"/>
  <c r="A6" i="8585"/>
  <c r="A5" i="8585"/>
  <c r="A4" i="8585"/>
  <c r="A3" i="8585"/>
  <c r="F1" i="8584"/>
  <c r="C2" i="8584"/>
  <c r="C3" i="8584"/>
  <c r="C4" i="8584"/>
  <c r="C5" i="8584"/>
  <c r="C6" i="8584"/>
  <c r="C7" i="8584"/>
  <c r="C8" i="8584"/>
  <c r="C9" i="8584"/>
  <c r="C10" i="8584"/>
  <c r="C11" i="8584"/>
  <c r="C12" i="8584"/>
  <c r="C13" i="8584"/>
  <c r="C14" i="8584"/>
  <c r="C15" i="8584"/>
  <c r="C16" i="8584"/>
  <c r="C17" i="8584"/>
  <c r="C18" i="8584"/>
  <c r="C19" i="8584"/>
  <c r="C20" i="8584"/>
  <c r="C21" i="8584"/>
  <c r="C22" i="8584"/>
  <c r="B2" i="8584"/>
  <c r="B3" i="8584"/>
  <c r="B4" i="8584"/>
  <c r="B5" i="8584"/>
  <c r="B6" i="8584"/>
  <c r="B7" i="8584"/>
  <c r="B8" i="8584"/>
  <c r="B9" i="8584"/>
  <c r="B10" i="8584"/>
  <c r="B11" i="8584"/>
  <c r="B12" i="8584"/>
  <c r="B13" i="8584"/>
  <c r="B14" i="8584"/>
  <c r="B15" i="8584"/>
  <c r="B16" i="8584"/>
  <c r="B17" i="8584"/>
  <c r="B18" i="8584"/>
  <c r="B19" i="8584"/>
  <c r="B20" i="8584"/>
  <c r="B21" i="8584"/>
  <c r="B22" i="8584"/>
  <c r="A22" i="8584"/>
  <c r="A21" i="8584"/>
  <c r="A20" i="8584"/>
  <c r="A19" i="8584"/>
  <c r="A18" i="8584"/>
  <c r="A17" i="8584"/>
  <c r="A16" i="8584"/>
  <c r="A15" i="8584"/>
  <c r="A14" i="8584"/>
  <c r="A13" i="8584"/>
  <c r="A12" i="8584"/>
  <c r="A11" i="8584"/>
  <c r="A10" i="8584"/>
  <c r="A9" i="8584"/>
  <c r="A8" i="8584"/>
  <c r="A7" i="8584"/>
  <c r="A6" i="8584"/>
  <c r="A5" i="8584"/>
  <c r="A4" i="8584"/>
  <c r="A3" i="8584"/>
  <c r="W366" i="8564"/>
  <c r="X366" i="8564"/>
  <c r="Y366" i="8564"/>
  <c r="T366" i="8564"/>
  <c r="U366" i="8564"/>
  <c r="V366" i="8564"/>
  <c r="W365" i="8564"/>
  <c r="X365" i="8564"/>
  <c r="Y365" i="8564"/>
  <c r="T365" i="8564"/>
  <c r="U365" i="8564"/>
  <c r="V365" i="8564"/>
  <c r="W364" i="8564"/>
  <c r="X364" i="8564"/>
  <c r="Y364" i="8564"/>
  <c r="T364" i="8564"/>
  <c r="U364" i="8564"/>
  <c r="V364" i="8564"/>
  <c r="W363" i="8564"/>
  <c r="X363" i="8564"/>
  <c r="Y363" i="8564"/>
  <c r="T363" i="8564"/>
  <c r="U363" i="8564"/>
  <c r="V363" i="8564"/>
  <c r="W362" i="8564"/>
  <c r="X362" i="8564"/>
  <c r="Y362" i="8564"/>
  <c r="T362" i="8564"/>
  <c r="U362" i="8564"/>
  <c r="V362" i="8564"/>
  <c r="W361" i="8564"/>
  <c r="X361" i="8564"/>
  <c r="Y361" i="8564"/>
  <c r="T361" i="8564"/>
  <c r="U361" i="8564"/>
  <c r="V361" i="8564"/>
  <c r="W360" i="8564"/>
  <c r="X360" i="8564"/>
  <c r="Y360" i="8564"/>
  <c r="T360" i="8564"/>
  <c r="U360" i="8564"/>
  <c r="V360" i="8564"/>
  <c r="W359" i="8564"/>
  <c r="X359" i="8564"/>
  <c r="Y359" i="8564"/>
  <c r="T359" i="8564"/>
  <c r="U359" i="8564"/>
  <c r="V359" i="8564"/>
  <c r="W358" i="8564"/>
  <c r="X358" i="8564"/>
  <c r="Y358" i="8564"/>
  <c r="T358" i="8564"/>
  <c r="U358" i="8564"/>
  <c r="V358" i="8564"/>
  <c r="W357" i="8564"/>
  <c r="X357" i="8564"/>
  <c r="Y357" i="8564"/>
  <c r="T357" i="8564"/>
  <c r="U357" i="8564"/>
  <c r="V357" i="8564"/>
  <c r="W356" i="8564"/>
  <c r="X356" i="8564"/>
  <c r="Y356" i="8564"/>
  <c r="T356" i="8564"/>
  <c r="U356" i="8564"/>
  <c r="V356" i="8564"/>
  <c r="W355" i="8564"/>
  <c r="X355" i="8564"/>
  <c r="Y355" i="8564"/>
  <c r="T355" i="8564"/>
  <c r="U355" i="8564"/>
  <c r="V355" i="8564"/>
  <c r="W354" i="8564"/>
  <c r="X354" i="8564"/>
  <c r="Y354" i="8564"/>
  <c r="T354" i="8564"/>
  <c r="U354" i="8564"/>
  <c r="V354" i="8564"/>
  <c r="W353" i="8564"/>
  <c r="X353" i="8564"/>
  <c r="Y353" i="8564"/>
  <c r="T353" i="8564"/>
  <c r="U353" i="8564"/>
  <c r="V353" i="8564"/>
  <c r="W352" i="8564"/>
  <c r="X352" i="8564"/>
  <c r="Y352" i="8564"/>
  <c r="T352" i="8564"/>
  <c r="U352" i="8564"/>
  <c r="V352" i="8564"/>
  <c r="W351" i="8564"/>
  <c r="X351" i="8564"/>
  <c r="Y351" i="8564"/>
  <c r="T351" i="8564"/>
  <c r="U351" i="8564"/>
  <c r="V351" i="8564"/>
  <c r="W350" i="8564"/>
  <c r="X350" i="8564"/>
  <c r="Y350" i="8564"/>
  <c r="T350" i="8564"/>
  <c r="U350" i="8564"/>
  <c r="V350" i="8564"/>
  <c r="W349" i="8564"/>
  <c r="X349" i="8564"/>
  <c r="Y349" i="8564"/>
  <c r="T349" i="8564"/>
  <c r="U349" i="8564"/>
  <c r="V349" i="8564"/>
  <c r="W348" i="8564"/>
  <c r="X348" i="8564"/>
  <c r="Y348" i="8564"/>
  <c r="T348" i="8564"/>
  <c r="U348" i="8564"/>
  <c r="V348" i="8564"/>
  <c r="W347" i="8564"/>
  <c r="X347" i="8564"/>
  <c r="Y347" i="8564"/>
  <c r="T347" i="8564"/>
  <c r="U347" i="8564"/>
  <c r="V347" i="8564"/>
  <c r="W346" i="8564"/>
  <c r="X346" i="8564"/>
  <c r="Y346" i="8564"/>
  <c r="T346" i="8564"/>
  <c r="U346" i="8564"/>
  <c r="V346" i="8564"/>
  <c r="W345" i="8564"/>
  <c r="X345" i="8564"/>
  <c r="Y345" i="8564"/>
  <c r="T345" i="8564"/>
  <c r="U345" i="8564"/>
  <c r="V345" i="8564"/>
  <c r="W344" i="8564"/>
  <c r="X344" i="8564"/>
  <c r="Y344" i="8564"/>
  <c r="T344" i="8564"/>
  <c r="U344" i="8564"/>
  <c r="V344" i="8564"/>
  <c r="W343" i="8564"/>
  <c r="X343" i="8564"/>
  <c r="Y343" i="8564"/>
  <c r="T343" i="8564"/>
  <c r="U343" i="8564"/>
  <c r="V343" i="8564"/>
  <c r="W342" i="8564"/>
  <c r="X342" i="8564"/>
  <c r="Y342" i="8564"/>
  <c r="T342" i="8564"/>
  <c r="U342" i="8564"/>
  <c r="V342" i="8564"/>
  <c r="W341" i="8564"/>
  <c r="X341" i="8564"/>
  <c r="Y341" i="8564"/>
  <c r="T341" i="8564"/>
  <c r="U341" i="8564"/>
  <c r="V341" i="8564"/>
  <c r="W340" i="8564"/>
  <c r="X340" i="8564"/>
  <c r="Y340" i="8564"/>
  <c r="T340" i="8564"/>
  <c r="U340" i="8564"/>
  <c r="V340" i="8564"/>
  <c r="W339" i="8564"/>
  <c r="X339" i="8564"/>
  <c r="Y339" i="8564"/>
  <c r="T339" i="8564"/>
  <c r="U339" i="8564"/>
  <c r="V339" i="8564"/>
  <c r="W338" i="8564"/>
  <c r="X338" i="8564"/>
  <c r="Y338" i="8564"/>
  <c r="T338" i="8564"/>
  <c r="U338" i="8564"/>
  <c r="V338" i="8564"/>
  <c r="W337" i="8564"/>
  <c r="X337" i="8564"/>
  <c r="Y337" i="8564"/>
  <c r="T337" i="8564"/>
  <c r="U337" i="8564"/>
  <c r="V337" i="8564"/>
  <c r="W336" i="8564"/>
  <c r="X336" i="8564"/>
  <c r="Y336" i="8564"/>
  <c r="T336" i="8564"/>
  <c r="U336" i="8564"/>
  <c r="V336" i="8564"/>
  <c r="W335" i="8564"/>
  <c r="X335" i="8564"/>
  <c r="Y335" i="8564"/>
  <c r="T335" i="8564"/>
  <c r="U335" i="8564"/>
  <c r="V335" i="8564"/>
  <c r="W334" i="8564"/>
  <c r="X334" i="8564"/>
  <c r="Y334" i="8564"/>
  <c r="T334" i="8564"/>
  <c r="U334" i="8564"/>
  <c r="V334" i="8564"/>
  <c r="W333" i="8564"/>
  <c r="X333" i="8564"/>
  <c r="Y333" i="8564"/>
  <c r="T333" i="8564"/>
  <c r="U333" i="8564"/>
  <c r="V333" i="8564"/>
  <c r="W332" i="8564"/>
  <c r="X332" i="8564"/>
  <c r="Y332" i="8564"/>
  <c r="T332" i="8564"/>
  <c r="U332" i="8564"/>
  <c r="V332" i="8564"/>
  <c r="W331" i="8564"/>
  <c r="X331" i="8564"/>
  <c r="Y331" i="8564"/>
  <c r="T331" i="8564"/>
  <c r="U331" i="8564"/>
  <c r="V331" i="8564"/>
  <c r="W330" i="8564"/>
  <c r="X330" i="8564"/>
  <c r="Y330" i="8564"/>
  <c r="T330" i="8564"/>
  <c r="U330" i="8564"/>
  <c r="V330" i="8564"/>
  <c r="W329" i="8564"/>
  <c r="X329" i="8564"/>
  <c r="Y329" i="8564"/>
  <c r="T329" i="8564"/>
  <c r="U329" i="8564"/>
  <c r="V329" i="8564"/>
  <c r="W328" i="8564"/>
  <c r="X328" i="8564"/>
  <c r="Y328" i="8564"/>
  <c r="T328" i="8564"/>
  <c r="U328" i="8564"/>
  <c r="V328" i="8564"/>
  <c r="W327" i="8564"/>
  <c r="X327" i="8564"/>
  <c r="Y327" i="8564"/>
  <c r="T327" i="8564"/>
  <c r="U327" i="8564"/>
  <c r="V327" i="8564"/>
  <c r="W326" i="8564"/>
  <c r="X326" i="8564"/>
  <c r="Y326" i="8564"/>
  <c r="T326" i="8564"/>
  <c r="U326" i="8564"/>
  <c r="V326" i="8564"/>
  <c r="W325" i="8564"/>
  <c r="X325" i="8564"/>
  <c r="Y325" i="8564"/>
  <c r="T325" i="8564"/>
  <c r="U325" i="8564"/>
  <c r="V325" i="8564"/>
  <c r="W324" i="8564"/>
  <c r="X324" i="8564"/>
  <c r="Y324" i="8564"/>
  <c r="T324" i="8564"/>
  <c r="U324" i="8564"/>
  <c r="V324" i="8564"/>
  <c r="W323" i="8564"/>
  <c r="X323" i="8564"/>
  <c r="Y323" i="8564"/>
  <c r="T323" i="8564"/>
  <c r="U323" i="8564"/>
  <c r="V323" i="8564"/>
  <c r="W322" i="8564"/>
  <c r="X322" i="8564"/>
  <c r="Y322" i="8564"/>
  <c r="T322" i="8564"/>
  <c r="U322" i="8564"/>
  <c r="V322" i="8564"/>
  <c r="W321" i="8564"/>
  <c r="X321" i="8564"/>
  <c r="Y321" i="8564"/>
  <c r="T321" i="8564"/>
  <c r="U321" i="8564"/>
  <c r="V321" i="8564"/>
  <c r="W320" i="8564"/>
  <c r="X320" i="8564"/>
  <c r="Y320" i="8564"/>
  <c r="T320" i="8564"/>
  <c r="U320" i="8564"/>
  <c r="V320" i="8564"/>
  <c r="W319" i="8564"/>
  <c r="X319" i="8564"/>
  <c r="Y319" i="8564"/>
  <c r="T319" i="8564"/>
  <c r="U319" i="8564"/>
  <c r="V319" i="8564"/>
  <c r="W318" i="8564"/>
  <c r="X318" i="8564"/>
  <c r="Y318" i="8564"/>
  <c r="T318" i="8564"/>
  <c r="U318" i="8564"/>
  <c r="V318" i="8564"/>
  <c r="W317" i="8564"/>
  <c r="X317" i="8564"/>
  <c r="Y317" i="8564"/>
  <c r="T317" i="8564"/>
  <c r="U317" i="8564"/>
  <c r="V317" i="8564"/>
  <c r="W316" i="8564"/>
  <c r="X316" i="8564"/>
  <c r="Y316" i="8564"/>
  <c r="T316" i="8564"/>
  <c r="U316" i="8564"/>
  <c r="V316" i="8564"/>
  <c r="W315" i="8564"/>
  <c r="X315" i="8564"/>
  <c r="Y315" i="8564"/>
  <c r="T315" i="8564"/>
  <c r="U315" i="8564"/>
  <c r="V315" i="8564"/>
  <c r="W314" i="8564"/>
  <c r="X314" i="8564"/>
  <c r="Y314" i="8564"/>
  <c r="T314" i="8564"/>
  <c r="U314" i="8564"/>
  <c r="V314" i="8564"/>
  <c r="W313" i="8564"/>
  <c r="X313" i="8564"/>
  <c r="Y313" i="8564"/>
  <c r="T313" i="8564"/>
  <c r="U313" i="8564"/>
  <c r="V313" i="8564"/>
  <c r="W312" i="8564"/>
  <c r="X312" i="8564"/>
  <c r="Y312" i="8564"/>
  <c r="T312" i="8564"/>
  <c r="U312" i="8564"/>
  <c r="V312" i="8564"/>
  <c r="W311" i="8564"/>
  <c r="X311" i="8564"/>
  <c r="Y311" i="8564"/>
  <c r="T311" i="8564"/>
  <c r="U311" i="8564"/>
  <c r="V311" i="8564"/>
  <c r="W310" i="8564"/>
  <c r="X310" i="8564"/>
  <c r="Y310" i="8564"/>
  <c r="T310" i="8564"/>
  <c r="U310" i="8564"/>
  <c r="V310" i="8564"/>
  <c r="W309" i="8564"/>
  <c r="X309" i="8564"/>
  <c r="Y309" i="8564"/>
  <c r="T309" i="8564"/>
  <c r="U309" i="8564"/>
  <c r="V309" i="8564"/>
  <c r="W308" i="8564"/>
  <c r="X308" i="8564"/>
  <c r="Y308" i="8564"/>
  <c r="T308" i="8564"/>
  <c r="U308" i="8564"/>
  <c r="V308" i="8564"/>
  <c r="W307" i="8564"/>
  <c r="X307" i="8564"/>
  <c r="Y307" i="8564"/>
  <c r="T307" i="8564"/>
  <c r="U307" i="8564"/>
  <c r="V307" i="8564"/>
  <c r="W306" i="8564"/>
  <c r="X306" i="8564"/>
  <c r="Y306" i="8564"/>
  <c r="T306" i="8564"/>
  <c r="U306" i="8564"/>
  <c r="V306" i="8564"/>
  <c r="W305" i="8564"/>
  <c r="X305" i="8564"/>
  <c r="Y305" i="8564"/>
  <c r="T305" i="8564"/>
  <c r="U305" i="8564"/>
  <c r="V305" i="8564"/>
  <c r="W304" i="8564"/>
  <c r="X304" i="8564"/>
  <c r="Y304" i="8564"/>
  <c r="T304" i="8564"/>
  <c r="U304" i="8564"/>
  <c r="V304" i="8564"/>
  <c r="W303" i="8564"/>
  <c r="X303" i="8564"/>
  <c r="Y303" i="8564"/>
  <c r="T303" i="8564"/>
  <c r="U303" i="8564"/>
  <c r="V303" i="8564"/>
  <c r="W302" i="8564"/>
  <c r="X302" i="8564"/>
  <c r="Y302" i="8564"/>
  <c r="T302" i="8564"/>
  <c r="U302" i="8564"/>
  <c r="V302" i="8564"/>
  <c r="W301" i="8564"/>
  <c r="X301" i="8564"/>
  <c r="Y301" i="8564"/>
  <c r="T301" i="8564"/>
  <c r="U301" i="8564"/>
  <c r="V301" i="8564"/>
  <c r="W300" i="8564"/>
  <c r="X300" i="8564"/>
  <c r="Y300" i="8564"/>
  <c r="T300" i="8564"/>
  <c r="U300" i="8564"/>
  <c r="V300" i="8564"/>
  <c r="W299" i="8564"/>
  <c r="X299" i="8564"/>
  <c r="Y299" i="8564"/>
  <c r="T299" i="8564"/>
  <c r="U299" i="8564"/>
  <c r="V299" i="8564"/>
  <c r="W298" i="8564"/>
  <c r="X298" i="8564"/>
  <c r="Y298" i="8564"/>
  <c r="T298" i="8564"/>
  <c r="U298" i="8564"/>
  <c r="V298" i="8564"/>
  <c r="W297" i="8564"/>
  <c r="X297" i="8564"/>
  <c r="Y297" i="8564"/>
  <c r="T297" i="8564"/>
  <c r="U297" i="8564"/>
  <c r="V297" i="8564"/>
  <c r="W296" i="8564"/>
  <c r="X296" i="8564"/>
  <c r="Y296" i="8564"/>
  <c r="T296" i="8564"/>
  <c r="U296" i="8564"/>
  <c r="V296" i="8564"/>
  <c r="W295" i="8564"/>
  <c r="X295" i="8564"/>
  <c r="Y295" i="8564"/>
  <c r="T295" i="8564"/>
  <c r="U295" i="8564"/>
  <c r="V295" i="8564"/>
  <c r="W294" i="8564"/>
  <c r="X294" i="8564"/>
  <c r="Y294" i="8564"/>
  <c r="T294" i="8564"/>
  <c r="U294" i="8564"/>
  <c r="V294" i="8564"/>
  <c r="W293" i="8564"/>
  <c r="X293" i="8564"/>
  <c r="Y293" i="8564"/>
  <c r="T293" i="8564"/>
  <c r="U293" i="8564"/>
  <c r="V293" i="8564"/>
  <c r="W292" i="8564"/>
  <c r="X292" i="8564"/>
  <c r="Y292" i="8564"/>
  <c r="T292" i="8564"/>
  <c r="U292" i="8564"/>
  <c r="V292" i="8564"/>
  <c r="W291" i="8564"/>
  <c r="X291" i="8564"/>
  <c r="Y291" i="8564"/>
  <c r="T291" i="8564"/>
  <c r="U291" i="8564"/>
  <c r="V291" i="8564"/>
  <c r="W290" i="8564"/>
  <c r="X290" i="8564"/>
  <c r="Y290" i="8564"/>
  <c r="T290" i="8564"/>
  <c r="U290" i="8564"/>
  <c r="V290" i="8564"/>
  <c r="W289" i="8564"/>
  <c r="X289" i="8564"/>
  <c r="Y289" i="8564"/>
  <c r="T289" i="8564"/>
  <c r="U289" i="8564"/>
  <c r="V289" i="8564"/>
  <c r="W288" i="8564"/>
  <c r="X288" i="8564"/>
  <c r="Y288" i="8564"/>
  <c r="T288" i="8564"/>
  <c r="U288" i="8564"/>
  <c r="V288" i="8564"/>
  <c r="W287" i="8564"/>
  <c r="X287" i="8564"/>
  <c r="Y287" i="8564"/>
  <c r="T287" i="8564"/>
  <c r="U287" i="8564"/>
  <c r="V287" i="8564"/>
  <c r="W286" i="8564"/>
  <c r="X286" i="8564"/>
  <c r="Y286" i="8564"/>
  <c r="T286" i="8564"/>
  <c r="U286" i="8564"/>
  <c r="V286" i="8564"/>
  <c r="W285" i="8564"/>
  <c r="X285" i="8564"/>
  <c r="Y285" i="8564"/>
  <c r="T285" i="8564"/>
  <c r="U285" i="8564"/>
  <c r="V285" i="8564"/>
  <c r="W284" i="8564"/>
  <c r="X284" i="8564"/>
  <c r="Y284" i="8564"/>
  <c r="T284" i="8564"/>
  <c r="U284" i="8564"/>
  <c r="V284" i="8564"/>
  <c r="W283" i="8564"/>
  <c r="X283" i="8564"/>
  <c r="Y283" i="8564"/>
  <c r="T283" i="8564"/>
  <c r="U283" i="8564"/>
  <c r="V283" i="8564"/>
  <c r="W282" i="8564"/>
  <c r="X282" i="8564"/>
  <c r="Y282" i="8564"/>
  <c r="T282" i="8564"/>
  <c r="U282" i="8564"/>
  <c r="V282" i="8564"/>
  <c r="W281" i="8564"/>
  <c r="X281" i="8564"/>
  <c r="Y281" i="8564"/>
  <c r="T281" i="8564"/>
  <c r="U281" i="8564"/>
  <c r="V281" i="8564"/>
  <c r="W280" i="8564"/>
  <c r="X280" i="8564"/>
  <c r="Y280" i="8564"/>
  <c r="T280" i="8564"/>
  <c r="U280" i="8564"/>
  <c r="V280" i="8564"/>
  <c r="W279" i="8564"/>
  <c r="X279" i="8564"/>
  <c r="Y279" i="8564"/>
  <c r="T279" i="8564"/>
  <c r="U279" i="8564"/>
  <c r="V279" i="8564"/>
  <c r="W278" i="8564"/>
  <c r="X278" i="8564"/>
  <c r="Y278" i="8564"/>
  <c r="T278" i="8564"/>
  <c r="U278" i="8564"/>
  <c r="V278" i="8564"/>
  <c r="W277" i="8564"/>
  <c r="X277" i="8564"/>
  <c r="Y277" i="8564"/>
  <c r="T277" i="8564"/>
  <c r="U277" i="8564"/>
  <c r="V277" i="8564"/>
  <c r="W276" i="8564"/>
  <c r="X276" i="8564"/>
  <c r="Y276" i="8564"/>
  <c r="T276" i="8564"/>
  <c r="U276" i="8564"/>
  <c r="V276" i="8564"/>
  <c r="W275" i="8564"/>
  <c r="X275" i="8564"/>
  <c r="Y275" i="8564"/>
  <c r="T275" i="8564"/>
  <c r="U275" i="8564"/>
  <c r="V275" i="8564"/>
  <c r="W274" i="8564"/>
  <c r="X274" i="8564"/>
  <c r="Y274" i="8564"/>
  <c r="T274" i="8564"/>
  <c r="U274" i="8564"/>
  <c r="V274" i="8564"/>
  <c r="W273" i="8564"/>
  <c r="X273" i="8564"/>
  <c r="Y273" i="8564"/>
  <c r="T273" i="8564"/>
  <c r="U273" i="8564"/>
  <c r="V273" i="8564"/>
  <c r="W272" i="8564"/>
  <c r="X272" i="8564"/>
  <c r="Y272" i="8564"/>
  <c r="T272" i="8564"/>
  <c r="U272" i="8564"/>
  <c r="V272" i="8564"/>
  <c r="W271" i="8564"/>
  <c r="X271" i="8564"/>
  <c r="Y271" i="8564"/>
  <c r="T271" i="8564"/>
  <c r="U271" i="8564"/>
  <c r="V271" i="8564"/>
  <c r="W270" i="8564"/>
  <c r="X270" i="8564"/>
  <c r="Y270" i="8564"/>
  <c r="T270" i="8564"/>
  <c r="U270" i="8564"/>
  <c r="V270" i="8564"/>
  <c r="W269" i="8564"/>
  <c r="X269" i="8564"/>
  <c r="Y269" i="8564"/>
  <c r="T269" i="8564"/>
  <c r="U269" i="8564"/>
  <c r="V269" i="8564"/>
  <c r="W268" i="8564"/>
  <c r="X268" i="8564"/>
  <c r="Y268" i="8564"/>
  <c r="T268" i="8564"/>
  <c r="U268" i="8564"/>
  <c r="V268" i="8564"/>
  <c r="W267" i="8564"/>
  <c r="X267" i="8564"/>
  <c r="Y267" i="8564"/>
  <c r="T267" i="8564"/>
  <c r="U267" i="8564"/>
  <c r="V267" i="8564"/>
  <c r="W266" i="8564"/>
  <c r="X266" i="8564"/>
  <c r="Y266" i="8564"/>
  <c r="T266" i="8564"/>
  <c r="U266" i="8564"/>
  <c r="V266" i="8564"/>
  <c r="W265" i="8564"/>
  <c r="X265" i="8564"/>
  <c r="Y265" i="8564"/>
  <c r="T265" i="8564"/>
  <c r="U265" i="8564"/>
  <c r="V265" i="8564"/>
  <c r="W264" i="8564"/>
  <c r="X264" i="8564"/>
  <c r="Y264" i="8564"/>
  <c r="T264" i="8564"/>
  <c r="U264" i="8564"/>
  <c r="V264" i="8564"/>
  <c r="W263" i="8564"/>
  <c r="X263" i="8564"/>
  <c r="Y263" i="8564"/>
  <c r="T263" i="8564"/>
  <c r="U263" i="8564"/>
  <c r="V263" i="8564"/>
  <c r="W262" i="8564"/>
  <c r="X262" i="8564"/>
  <c r="Y262" i="8564"/>
  <c r="T262" i="8564"/>
  <c r="U262" i="8564"/>
  <c r="V262" i="8564"/>
  <c r="W261" i="8564"/>
  <c r="X261" i="8564"/>
  <c r="Y261" i="8564"/>
  <c r="T261" i="8564"/>
  <c r="U261" i="8564"/>
  <c r="V261" i="8564"/>
  <c r="W260" i="8564"/>
  <c r="X260" i="8564"/>
  <c r="Y260" i="8564"/>
  <c r="T260" i="8564"/>
  <c r="U260" i="8564"/>
  <c r="V260" i="8564"/>
  <c r="W259" i="8564"/>
  <c r="X259" i="8564"/>
  <c r="Y259" i="8564"/>
  <c r="T259" i="8564"/>
  <c r="U259" i="8564"/>
  <c r="V259" i="8564"/>
  <c r="W258" i="8564"/>
  <c r="X258" i="8564"/>
  <c r="Y258" i="8564"/>
  <c r="T258" i="8564"/>
  <c r="U258" i="8564"/>
  <c r="V258" i="8564"/>
  <c r="W257" i="8564"/>
  <c r="X257" i="8564"/>
  <c r="Y257" i="8564"/>
  <c r="T257" i="8564"/>
  <c r="U257" i="8564"/>
  <c r="V257" i="8564"/>
  <c r="W256" i="8564"/>
  <c r="X256" i="8564"/>
  <c r="Y256" i="8564"/>
  <c r="T256" i="8564"/>
  <c r="U256" i="8564"/>
  <c r="V256" i="8564"/>
  <c r="W255" i="8564"/>
  <c r="X255" i="8564"/>
  <c r="Y255" i="8564"/>
  <c r="T255" i="8564"/>
  <c r="U255" i="8564"/>
  <c r="V255" i="8564"/>
  <c r="W254" i="8564"/>
  <c r="X254" i="8564"/>
  <c r="Y254" i="8564"/>
  <c r="T254" i="8564"/>
  <c r="U254" i="8564"/>
  <c r="V254" i="8564"/>
  <c r="W253" i="8564"/>
  <c r="X253" i="8564"/>
  <c r="Y253" i="8564"/>
  <c r="T253" i="8564"/>
  <c r="U253" i="8564"/>
  <c r="V253" i="8564"/>
  <c r="W252" i="8564"/>
  <c r="X252" i="8564"/>
  <c r="Y252" i="8564"/>
  <c r="T252" i="8564"/>
  <c r="U252" i="8564"/>
  <c r="V252" i="8564"/>
  <c r="W251" i="8564"/>
  <c r="X251" i="8564"/>
  <c r="Y251" i="8564"/>
  <c r="T251" i="8564"/>
  <c r="U251" i="8564"/>
  <c r="V251" i="8564"/>
  <c r="W250" i="8564"/>
  <c r="X250" i="8564"/>
  <c r="Y250" i="8564"/>
  <c r="T250" i="8564"/>
  <c r="U250" i="8564"/>
  <c r="V250" i="8564"/>
  <c r="W249" i="8564"/>
  <c r="X249" i="8564"/>
  <c r="Y249" i="8564"/>
  <c r="T249" i="8564"/>
  <c r="U249" i="8564"/>
  <c r="V249" i="8564"/>
  <c r="W248" i="8564"/>
  <c r="X248" i="8564"/>
  <c r="Y248" i="8564"/>
  <c r="T248" i="8564"/>
  <c r="U248" i="8564"/>
  <c r="V248" i="8564"/>
  <c r="W247" i="8564"/>
  <c r="X247" i="8564"/>
  <c r="Y247" i="8564"/>
  <c r="T247" i="8564"/>
  <c r="U247" i="8564"/>
  <c r="V247" i="8564"/>
  <c r="W246" i="8564"/>
  <c r="X246" i="8564"/>
  <c r="Y246" i="8564"/>
  <c r="T246" i="8564"/>
  <c r="U246" i="8564"/>
  <c r="V246" i="8564"/>
  <c r="W245" i="8564"/>
  <c r="X245" i="8564"/>
  <c r="Y245" i="8564"/>
  <c r="T245" i="8564"/>
  <c r="U245" i="8564"/>
  <c r="V245" i="8564"/>
  <c r="W244" i="8564"/>
  <c r="X244" i="8564"/>
  <c r="Y244" i="8564"/>
  <c r="T244" i="8564"/>
  <c r="U244" i="8564"/>
  <c r="V244" i="8564"/>
  <c r="W243" i="8564"/>
  <c r="X243" i="8564"/>
  <c r="Y243" i="8564"/>
  <c r="T243" i="8564"/>
  <c r="U243" i="8564"/>
  <c r="V243" i="8564"/>
  <c r="W242" i="8564"/>
  <c r="X242" i="8564"/>
  <c r="Y242" i="8564"/>
  <c r="T242" i="8564"/>
  <c r="U242" i="8564"/>
  <c r="V242" i="8564"/>
  <c r="W241" i="8564"/>
  <c r="X241" i="8564"/>
  <c r="Y241" i="8564"/>
  <c r="T241" i="8564"/>
  <c r="U241" i="8564"/>
  <c r="V241" i="8564"/>
  <c r="W240" i="8564"/>
  <c r="X240" i="8564"/>
  <c r="Y240" i="8564"/>
  <c r="T240" i="8564"/>
  <c r="U240" i="8564"/>
  <c r="V240" i="8564"/>
  <c r="W239" i="8564"/>
  <c r="X239" i="8564"/>
  <c r="Y239" i="8564"/>
  <c r="T239" i="8564"/>
  <c r="U239" i="8564"/>
  <c r="V239" i="8564"/>
  <c r="W238" i="8564"/>
  <c r="X238" i="8564"/>
  <c r="Y238" i="8564"/>
  <c r="T238" i="8564"/>
  <c r="U238" i="8564"/>
  <c r="V238" i="8564"/>
  <c r="W237" i="8564"/>
  <c r="X237" i="8564"/>
  <c r="Y237" i="8564"/>
  <c r="T237" i="8564"/>
  <c r="U237" i="8564"/>
  <c r="V237" i="8564"/>
  <c r="W236" i="8564"/>
  <c r="X236" i="8564"/>
  <c r="Y236" i="8564"/>
  <c r="T236" i="8564"/>
  <c r="U236" i="8564"/>
  <c r="V236" i="8564"/>
  <c r="W235" i="8564"/>
  <c r="X235" i="8564"/>
  <c r="Y235" i="8564"/>
  <c r="T235" i="8564"/>
  <c r="U235" i="8564"/>
  <c r="V235" i="8564"/>
  <c r="W234" i="8564"/>
  <c r="X234" i="8564"/>
  <c r="Y234" i="8564"/>
  <c r="T234" i="8564"/>
  <c r="U234" i="8564"/>
  <c r="V234" i="8564"/>
  <c r="W233" i="8564"/>
  <c r="X233" i="8564"/>
  <c r="Y233" i="8564"/>
  <c r="T233" i="8564"/>
  <c r="U233" i="8564"/>
  <c r="V233" i="8564"/>
  <c r="W232" i="8564"/>
  <c r="X232" i="8564"/>
  <c r="Y232" i="8564"/>
  <c r="T232" i="8564"/>
  <c r="U232" i="8564"/>
  <c r="V232" i="8564"/>
  <c r="W231" i="8564"/>
  <c r="X231" i="8564"/>
  <c r="Y231" i="8564"/>
  <c r="T231" i="8564"/>
  <c r="U231" i="8564"/>
  <c r="V231" i="8564"/>
  <c r="W230" i="8564"/>
  <c r="X230" i="8564"/>
  <c r="Y230" i="8564"/>
  <c r="T230" i="8564"/>
  <c r="U230" i="8564"/>
  <c r="V230" i="8564"/>
  <c r="W229" i="8564"/>
  <c r="X229" i="8564"/>
  <c r="Y229" i="8564"/>
  <c r="T229" i="8564"/>
  <c r="U229" i="8564"/>
  <c r="V229" i="8564"/>
  <c r="W228" i="8564"/>
  <c r="X228" i="8564"/>
  <c r="Y228" i="8564"/>
  <c r="T228" i="8564"/>
  <c r="U228" i="8564"/>
  <c r="V228" i="8564"/>
  <c r="W227" i="8564"/>
  <c r="X227" i="8564"/>
  <c r="Y227" i="8564"/>
  <c r="T227" i="8564"/>
  <c r="U227" i="8564"/>
  <c r="V227" i="8564"/>
  <c r="W226" i="8564"/>
  <c r="X226" i="8564"/>
  <c r="Y226" i="8564"/>
  <c r="T226" i="8564"/>
  <c r="U226" i="8564"/>
  <c r="V226" i="8564"/>
  <c r="W225" i="8564"/>
  <c r="X225" i="8564"/>
  <c r="Y225" i="8564"/>
  <c r="T225" i="8564"/>
  <c r="U225" i="8564"/>
  <c r="V225" i="8564"/>
  <c r="W224" i="8564"/>
  <c r="X224" i="8564"/>
  <c r="Y224" i="8564"/>
  <c r="T224" i="8564"/>
  <c r="U224" i="8564"/>
  <c r="V224" i="8564"/>
  <c r="W223" i="8564"/>
  <c r="X223" i="8564"/>
  <c r="Y223" i="8564"/>
  <c r="T223" i="8564"/>
  <c r="U223" i="8564"/>
  <c r="V223" i="8564"/>
  <c r="W222" i="8564"/>
  <c r="X222" i="8564"/>
  <c r="Y222" i="8564"/>
  <c r="T222" i="8564"/>
  <c r="U222" i="8564"/>
  <c r="V222" i="8564"/>
  <c r="W221" i="8564"/>
  <c r="X221" i="8564"/>
  <c r="Y221" i="8564"/>
  <c r="T221" i="8564"/>
  <c r="U221" i="8564"/>
  <c r="V221" i="8564"/>
  <c r="W220" i="8564"/>
  <c r="X220" i="8564"/>
  <c r="Y220" i="8564"/>
  <c r="T220" i="8564"/>
  <c r="U220" i="8564"/>
  <c r="V220" i="8564"/>
  <c r="W219" i="8564"/>
  <c r="X219" i="8564"/>
  <c r="Y219" i="8564"/>
  <c r="T219" i="8564"/>
  <c r="U219" i="8564"/>
  <c r="V219" i="8564"/>
  <c r="W218" i="8564"/>
  <c r="X218" i="8564"/>
  <c r="Y218" i="8564"/>
  <c r="T218" i="8564"/>
  <c r="U218" i="8564"/>
  <c r="V218" i="8564"/>
  <c r="W217" i="8564"/>
  <c r="X217" i="8564"/>
  <c r="Y217" i="8564"/>
  <c r="T217" i="8564"/>
  <c r="U217" i="8564"/>
  <c r="V217" i="8564"/>
  <c r="W216" i="8564"/>
  <c r="X216" i="8564"/>
  <c r="Y216" i="8564"/>
  <c r="T216" i="8564"/>
  <c r="U216" i="8564"/>
  <c r="V216" i="8564"/>
  <c r="W215" i="8564"/>
  <c r="X215" i="8564"/>
  <c r="Y215" i="8564"/>
  <c r="T215" i="8564"/>
  <c r="U215" i="8564"/>
  <c r="V215" i="8564"/>
  <c r="W214" i="8564"/>
  <c r="X214" i="8564"/>
  <c r="Y214" i="8564"/>
  <c r="T214" i="8564"/>
  <c r="U214" i="8564"/>
  <c r="V214" i="8564"/>
  <c r="W213" i="8564"/>
  <c r="X213" i="8564"/>
  <c r="Y213" i="8564"/>
  <c r="T213" i="8564"/>
  <c r="U213" i="8564"/>
  <c r="V213" i="8564"/>
  <c r="W212" i="8564"/>
  <c r="X212" i="8564"/>
  <c r="Y212" i="8564"/>
  <c r="T212" i="8564"/>
  <c r="U212" i="8564"/>
  <c r="V212" i="8564"/>
  <c r="W211" i="8564"/>
  <c r="X211" i="8564"/>
  <c r="Y211" i="8564"/>
  <c r="T211" i="8564"/>
  <c r="U211" i="8564"/>
  <c r="V211" i="8564"/>
  <c r="W210" i="8564"/>
  <c r="X210" i="8564"/>
  <c r="Y210" i="8564"/>
  <c r="T210" i="8564"/>
  <c r="U210" i="8564"/>
  <c r="V210" i="8564"/>
  <c r="W209" i="8564"/>
  <c r="X209" i="8564"/>
  <c r="Y209" i="8564"/>
  <c r="T209" i="8564"/>
  <c r="U209" i="8564"/>
  <c r="V209" i="8564"/>
  <c r="W208" i="8564"/>
  <c r="X208" i="8564"/>
  <c r="Y208" i="8564"/>
  <c r="T208" i="8564"/>
  <c r="U208" i="8564"/>
  <c r="V208" i="8564"/>
  <c r="W207" i="8564"/>
  <c r="X207" i="8564"/>
  <c r="Y207" i="8564"/>
  <c r="T207" i="8564"/>
  <c r="U207" i="8564"/>
  <c r="V207" i="8564"/>
  <c r="W206" i="8564"/>
  <c r="X206" i="8564"/>
  <c r="Y206" i="8564"/>
  <c r="T206" i="8564"/>
  <c r="U206" i="8564"/>
  <c r="V206" i="8564"/>
  <c r="W205" i="8564"/>
  <c r="X205" i="8564"/>
  <c r="Y205" i="8564"/>
  <c r="T205" i="8564"/>
  <c r="U205" i="8564"/>
  <c r="V205" i="8564"/>
  <c r="W204" i="8564"/>
  <c r="X204" i="8564"/>
  <c r="Y204" i="8564"/>
  <c r="T204" i="8564"/>
  <c r="U204" i="8564"/>
  <c r="V204" i="8564"/>
  <c r="W203" i="8564"/>
  <c r="X203" i="8564"/>
  <c r="Y203" i="8564"/>
  <c r="T203" i="8564"/>
  <c r="U203" i="8564"/>
  <c r="V203" i="8564"/>
  <c r="W202" i="8564"/>
  <c r="X202" i="8564"/>
  <c r="Y202" i="8564"/>
  <c r="T202" i="8564"/>
  <c r="U202" i="8564"/>
  <c r="V202" i="8564"/>
  <c r="W201" i="8564"/>
  <c r="X201" i="8564"/>
  <c r="Y201" i="8564"/>
  <c r="T201" i="8564"/>
  <c r="U201" i="8564"/>
  <c r="V201" i="8564"/>
  <c r="W200" i="8564"/>
  <c r="X200" i="8564"/>
  <c r="Y200" i="8564"/>
  <c r="T200" i="8564"/>
  <c r="U200" i="8564"/>
  <c r="V200" i="8564"/>
  <c r="W199" i="8564"/>
  <c r="X199" i="8564"/>
  <c r="Y199" i="8564"/>
  <c r="T199" i="8564"/>
  <c r="U199" i="8564"/>
  <c r="V199" i="8564"/>
  <c r="W198" i="8564"/>
  <c r="X198" i="8564"/>
  <c r="Y198" i="8564"/>
  <c r="T198" i="8564"/>
  <c r="U198" i="8564"/>
  <c r="V198" i="8564"/>
  <c r="W197" i="8564"/>
  <c r="X197" i="8564"/>
  <c r="Y197" i="8564"/>
  <c r="T197" i="8564"/>
  <c r="U197" i="8564"/>
  <c r="V197" i="8564"/>
  <c r="W196" i="8564"/>
  <c r="X196" i="8564"/>
  <c r="Y196" i="8564"/>
  <c r="T196" i="8564"/>
  <c r="U196" i="8564"/>
  <c r="V196" i="8564"/>
  <c r="W195" i="8564"/>
  <c r="X195" i="8564"/>
  <c r="Y195" i="8564"/>
  <c r="T195" i="8564"/>
  <c r="U195" i="8564"/>
  <c r="V195" i="8564"/>
  <c r="W194" i="8564"/>
  <c r="X194" i="8564"/>
  <c r="Y194" i="8564"/>
  <c r="T194" i="8564"/>
  <c r="U194" i="8564"/>
  <c r="V194" i="8564"/>
  <c r="W193" i="8564"/>
  <c r="X193" i="8564"/>
  <c r="Y193" i="8564"/>
  <c r="T193" i="8564"/>
  <c r="U193" i="8564"/>
  <c r="V193" i="8564"/>
  <c r="W192" i="8564"/>
  <c r="X192" i="8564"/>
  <c r="Y192" i="8564"/>
  <c r="T192" i="8564"/>
  <c r="U192" i="8564"/>
  <c r="V192" i="8564"/>
  <c r="W191" i="8564"/>
  <c r="X191" i="8564"/>
  <c r="Y191" i="8564"/>
  <c r="T191" i="8564"/>
  <c r="U191" i="8564"/>
  <c r="V191" i="8564"/>
  <c r="W190" i="8564"/>
  <c r="X190" i="8564"/>
  <c r="Y190" i="8564"/>
  <c r="T190" i="8564"/>
  <c r="U190" i="8564"/>
  <c r="V190" i="8564"/>
  <c r="W189" i="8564"/>
  <c r="X189" i="8564"/>
  <c r="Y189" i="8564"/>
  <c r="T189" i="8564"/>
  <c r="U189" i="8564"/>
  <c r="V189" i="8564"/>
  <c r="W188" i="8564"/>
  <c r="X188" i="8564"/>
  <c r="Y188" i="8564"/>
  <c r="T188" i="8564"/>
  <c r="U188" i="8564"/>
  <c r="V188" i="8564"/>
  <c r="W187" i="8564"/>
  <c r="X187" i="8564"/>
  <c r="Y187" i="8564"/>
  <c r="T187" i="8564"/>
  <c r="U187" i="8564"/>
  <c r="V187" i="8564"/>
  <c r="W186" i="8564"/>
  <c r="X186" i="8564"/>
  <c r="Y186" i="8564"/>
  <c r="T186" i="8564"/>
  <c r="U186" i="8564"/>
  <c r="V186" i="8564"/>
  <c r="W185" i="8564"/>
  <c r="X185" i="8564"/>
  <c r="Y185" i="8564"/>
  <c r="T185" i="8564"/>
  <c r="U185" i="8564"/>
  <c r="V185" i="8564"/>
  <c r="W184" i="8564"/>
  <c r="X184" i="8564"/>
  <c r="Y184" i="8564"/>
  <c r="T184" i="8564"/>
  <c r="U184" i="8564"/>
  <c r="V184" i="8564"/>
  <c r="W183" i="8564"/>
  <c r="X183" i="8564"/>
  <c r="Y183" i="8564"/>
  <c r="T183" i="8564"/>
  <c r="U183" i="8564"/>
  <c r="V183" i="8564"/>
  <c r="W182" i="8564"/>
  <c r="X182" i="8564"/>
  <c r="Y182" i="8564"/>
  <c r="T182" i="8564"/>
  <c r="U182" i="8564"/>
  <c r="V182" i="8564"/>
  <c r="W181" i="8564"/>
  <c r="X181" i="8564"/>
  <c r="Y181" i="8564"/>
  <c r="T181" i="8564"/>
  <c r="U181" i="8564"/>
  <c r="V181" i="8564"/>
  <c r="W180" i="8564"/>
  <c r="X180" i="8564"/>
  <c r="Y180" i="8564"/>
  <c r="T180" i="8564"/>
  <c r="U180" i="8564"/>
  <c r="V180" i="8564"/>
  <c r="W179" i="8564"/>
  <c r="X179" i="8564"/>
  <c r="Y179" i="8564"/>
  <c r="T179" i="8564"/>
  <c r="U179" i="8564"/>
  <c r="V179" i="8564"/>
  <c r="W178" i="8564"/>
  <c r="X178" i="8564"/>
  <c r="Y178" i="8564"/>
  <c r="T178" i="8564"/>
  <c r="U178" i="8564"/>
  <c r="V178" i="8564"/>
  <c r="W177" i="8564"/>
  <c r="X177" i="8564"/>
  <c r="Y177" i="8564"/>
  <c r="T177" i="8564"/>
  <c r="U177" i="8564"/>
  <c r="V177" i="8564"/>
  <c r="W176" i="8564"/>
  <c r="X176" i="8564"/>
  <c r="Y176" i="8564"/>
  <c r="T176" i="8564"/>
  <c r="U176" i="8564"/>
  <c r="V176" i="8564"/>
  <c r="W175" i="8564"/>
  <c r="X175" i="8564"/>
  <c r="Y175" i="8564"/>
  <c r="T175" i="8564"/>
  <c r="U175" i="8564"/>
  <c r="V175" i="8564"/>
  <c r="W174" i="8564"/>
  <c r="X174" i="8564"/>
  <c r="Y174" i="8564"/>
  <c r="T174" i="8564"/>
  <c r="U174" i="8564"/>
  <c r="V174" i="8564"/>
  <c r="W173" i="8564"/>
  <c r="X173" i="8564"/>
  <c r="Y173" i="8564"/>
  <c r="T173" i="8564"/>
  <c r="U173" i="8564"/>
  <c r="V173" i="8564"/>
  <c r="W172" i="8564"/>
  <c r="X172" i="8564"/>
  <c r="Y172" i="8564"/>
  <c r="T172" i="8564"/>
  <c r="U172" i="8564"/>
  <c r="V172" i="8564"/>
  <c r="W171" i="8564"/>
  <c r="X171" i="8564"/>
  <c r="Y171" i="8564"/>
  <c r="T171" i="8564"/>
  <c r="U171" i="8564"/>
  <c r="V171" i="8564"/>
  <c r="W170" i="8564"/>
  <c r="X170" i="8564"/>
  <c r="Y170" i="8564"/>
  <c r="T170" i="8564"/>
  <c r="U170" i="8564"/>
  <c r="V170" i="8564"/>
  <c r="W169" i="8564"/>
  <c r="X169" i="8564"/>
  <c r="Y169" i="8564"/>
  <c r="T169" i="8564"/>
  <c r="U169" i="8564"/>
  <c r="V169" i="8564"/>
  <c r="W168" i="8564"/>
  <c r="X168" i="8564"/>
  <c r="Y168" i="8564"/>
  <c r="T168" i="8564"/>
  <c r="U168" i="8564"/>
  <c r="V168" i="8564"/>
  <c r="W167" i="8564"/>
  <c r="X167" i="8564"/>
  <c r="Y167" i="8564"/>
  <c r="T167" i="8564"/>
  <c r="U167" i="8564"/>
  <c r="V167" i="8564"/>
  <c r="W166" i="8564"/>
  <c r="X166" i="8564"/>
  <c r="Y166" i="8564"/>
  <c r="T166" i="8564"/>
  <c r="U166" i="8564"/>
  <c r="V166" i="8564"/>
  <c r="W165" i="8564"/>
  <c r="X165" i="8564"/>
  <c r="Y165" i="8564"/>
  <c r="T165" i="8564"/>
  <c r="U165" i="8564"/>
  <c r="V165" i="8564"/>
  <c r="W164" i="8564"/>
  <c r="X164" i="8564"/>
  <c r="Y164" i="8564"/>
  <c r="T164" i="8564"/>
  <c r="U164" i="8564"/>
  <c r="V164" i="8564"/>
  <c r="W163" i="8564"/>
  <c r="X163" i="8564"/>
  <c r="Y163" i="8564"/>
  <c r="T163" i="8564"/>
  <c r="U163" i="8564"/>
  <c r="V163" i="8564"/>
  <c r="W162" i="8564"/>
  <c r="X162" i="8564"/>
  <c r="Y162" i="8564"/>
  <c r="T162" i="8564"/>
  <c r="U162" i="8564"/>
  <c r="V162" i="8564"/>
  <c r="W161" i="8564"/>
  <c r="X161" i="8564"/>
  <c r="Y161" i="8564"/>
  <c r="T161" i="8564"/>
  <c r="U161" i="8564"/>
  <c r="V161" i="8564"/>
  <c r="W160" i="8564"/>
  <c r="X160" i="8564"/>
  <c r="Y160" i="8564"/>
  <c r="T160" i="8564"/>
  <c r="U160" i="8564"/>
  <c r="V160" i="8564"/>
  <c r="W159" i="8564"/>
  <c r="X159" i="8564"/>
  <c r="Y159" i="8564"/>
  <c r="T159" i="8564"/>
  <c r="U159" i="8564"/>
  <c r="V159" i="8564"/>
  <c r="W158" i="8564"/>
  <c r="X158" i="8564"/>
  <c r="Y158" i="8564"/>
  <c r="T158" i="8564"/>
  <c r="U158" i="8564"/>
  <c r="V158" i="8564"/>
  <c r="W157" i="8564"/>
  <c r="X157" i="8564"/>
  <c r="Y157" i="8564"/>
  <c r="T157" i="8564"/>
  <c r="U157" i="8564"/>
  <c r="V157" i="8564"/>
  <c r="W156" i="8564"/>
  <c r="X156" i="8564"/>
  <c r="Y156" i="8564"/>
  <c r="T156" i="8564"/>
  <c r="U156" i="8564"/>
  <c r="V156" i="8564"/>
  <c r="W155" i="8564"/>
  <c r="X155" i="8564"/>
  <c r="Y155" i="8564"/>
  <c r="T155" i="8564"/>
  <c r="U155" i="8564"/>
  <c r="V155" i="8564"/>
  <c r="W154" i="8564"/>
  <c r="X154" i="8564"/>
  <c r="Y154" i="8564"/>
  <c r="T154" i="8564"/>
  <c r="U154" i="8564"/>
  <c r="V154" i="8564"/>
  <c r="W153" i="8564"/>
  <c r="X153" i="8564"/>
  <c r="Y153" i="8564"/>
  <c r="T153" i="8564"/>
  <c r="U153" i="8564"/>
  <c r="V153" i="8564"/>
  <c r="W152" i="8564"/>
  <c r="X152" i="8564"/>
  <c r="Y152" i="8564"/>
  <c r="T152" i="8564"/>
  <c r="U152" i="8564"/>
  <c r="V152" i="8564"/>
  <c r="W151" i="8564"/>
  <c r="X151" i="8564"/>
  <c r="Y151" i="8564"/>
  <c r="T151" i="8564"/>
  <c r="U151" i="8564"/>
  <c r="V151" i="8564"/>
  <c r="W150" i="8564"/>
  <c r="X150" i="8564"/>
  <c r="Y150" i="8564"/>
  <c r="T150" i="8564"/>
  <c r="U150" i="8564"/>
  <c r="V150" i="8564"/>
  <c r="W149" i="8564"/>
  <c r="X149" i="8564"/>
  <c r="Y149" i="8564"/>
  <c r="T149" i="8564"/>
  <c r="U149" i="8564"/>
  <c r="V149" i="8564"/>
  <c r="W148" i="8564"/>
  <c r="X148" i="8564"/>
  <c r="Y148" i="8564"/>
  <c r="T148" i="8564"/>
  <c r="U148" i="8564"/>
  <c r="V148" i="8564"/>
  <c r="W147" i="8564"/>
  <c r="X147" i="8564"/>
  <c r="Y147" i="8564"/>
  <c r="T147" i="8564"/>
  <c r="U147" i="8564"/>
  <c r="V147" i="8564"/>
  <c r="W146" i="8564"/>
  <c r="X146" i="8564"/>
  <c r="Y146" i="8564"/>
  <c r="T146" i="8564"/>
  <c r="U146" i="8564"/>
  <c r="V146" i="8564"/>
  <c r="W145" i="8564"/>
  <c r="X145" i="8564"/>
  <c r="Y145" i="8564"/>
  <c r="T145" i="8564"/>
  <c r="U145" i="8564"/>
  <c r="V145" i="8564"/>
  <c r="W144" i="8564"/>
  <c r="X144" i="8564"/>
  <c r="Y144" i="8564"/>
  <c r="T144" i="8564"/>
  <c r="U144" i="8564"/>
  <c r="V144" i="8564"/>
  <c r="W143" i="8564"/>
  <c r="X143" i="8564"/>
  <c r="Y143" i="8564"/>
  <c r="T143" i="8564"/>
  <c r="U143" i="8564"/>
  <c r="V143" i="8564"/>
  <c r="W142" i="8564"/>
  <c r="X142" i="8564"/>
  <c r="Y142" i="8564"/>
  <c r="T142" i="8564"/>
  <c r="U142" i="8564"/>
  <c r="V142" i="8564"/>
  <c r="W141" i="8564"/>
  <c r="X141" i="8564"/>
  <c r="Y141" i="8564"/>
  <c r="T141" i="8564"/>
  <c r="U141" i="8564"/>
  <c r="V141" i="8564"/>
  <c r="W140" i="8564"/>
  <c r="X140" i="8564"/>
  <c r="Y140" i="8564"/>
  <c r="T140" i="8564"/>
  <c r="U140" i="8564"/>
  <c r="V140" i="8564"/>
  <c r="W139" i="8564"/>
  <c r="X139" i="8564"/>
  <c r="Y139" i="8564"/>
  <c r="T139" i="8564"/>
  <c r="U139" i="8564"/>
  <c r="V139" i="8564"/>
  <c r="W138" i="8564"/>
  <c r="X138" i="8564"/>
  <c r="Y138" i="8564"/>
  <c r="T138" i="8564"/>
  <c r="U138" i="8564"/>
  <c r="V138" i="8564"/>
  <c r="W137" i="8564"/>
  <c r="X137" i="8564"/>
  <c r="Y137" i="8564"/>
  <c r="T137" i="8564"/>
  <c r="U137" i="8564"/>
  <c r="V137" i="8564"/>
  <c r="W136" i="8564"/>
  <c r="X136" i="8564"/>
  <c r="Y136" i="8564"/>
  <c r="T136" i="8564"/>
  <c r="U136" i="8564"/>
  <c r="V136" i="8564"/>
  <c r="W135" i="8564"/>
  <c r="X135" i="8564"/>
  <c r="Y135" i="8564"/>
  <c r="T135" i="8564"/>
  <c r="U135" i="8564"/>
  <c r="V135" i="8564"/>
  <c r="W134" i="8564"/>
  <c r="X134" i="8564"/>
  <c r="Y134" i="8564"/>
  <c r="T134" i="8564"/>
  <c r="U134" i="8564"/>
  <c r="V134" i="8564"/>
  <c r="W133" i="8564"/>
  <c r="X133" i="8564"/>
  <c r="Y133" i="8564"/>
  <c r="T133" i="8564"/>
  <c r="U133" i="8564"/>
  <c r="V133" i="8564"/>
  <c r="W132" i="8564"/>
  <c r="X132" i="8564"/>
  <c r="Y132" i="8564"/>
  <c r="T132" i="8564"/>
  <c r="U132" i="8564"/>
  <c r="V132" i="8564"/>
  <c r="W131" i="8564"/>
  <c r="X131" i="8564"/>
  <c r="Y131" i="8564"/>
  <c r="T131" i="8564"/>
  <c r="U131" i="8564"/>
  <c r="V131" i="8564"/>
  <c r="W130" i="8564"/>
  <c r="X130" i="8564"/>
  <c r="Y130" i="8564"/>
  <c r="T130" i="8564"/>
  <c r="U130" i="8564"/>
  <c r="V130" i="8564"/>
  <c r="W129" i="8564"/>
  <c r="X129" i="8564"/>
  <c r="Y129" i="8564"/>
  <c r="T129" i="8564"/>
  <c r="U129" i="8564"/>
  <c r="V129" i="8564"/>
  <c r="W128" i="8564"/>
  <c r="X128" i="8564"/>
  <c r="Y128" i="8564"/>
  <c r="T128" i="8564"/>
  <c r="U128" i="8564"/>
  <c r="V128" i="8564"/>
  <c r="W127" i="8564"/>
  <c r="X127" i="8564"/>
  <c r="Y127" i="8564"/>
  <c r="T127" i="8564"/>
  <c r="U127" i="8564"/>
  <c r="V127" i="8564"/>
  <c r="W126" i="8564"/>
  <c r="X126" i="8564"/>
  <c r="Y126" i="8564"/>
  <c r="T126" i="8564"/>
  <c r="U126" i="8564"/>
  <c r="V126" i="8564"/>
  <c r="W125" i="8564"/>
  <c r="X125" i="8564"/>
  <c r="Y125" i="8564"/>
  <c r="T125" i="8564"/>
  <c r="U125" i="8564"/>
  <c r="V125" i="8564"/>
  <c r="W124" i="8564"/>
  <c r="X124" i="8564"/>
  <c r="Y124" i="8564"/>
  <c r="T124" i="8564"/>
  <c r="U124" i="8564"/>
  <c r="V124" i="8564"/>
  <c r="W123" i="8564"/>
  <c r="X123" i="8564"/>
  <c r="Y123" i="8564"/>
  <c r="T123" i="8564"/>
  <c r="U123" i="8564"/>
  <c r="V123" i="8564"/>
  <c r="W122" i="8564"/>
  <c r="X122" i="8564"/>
  <c r="Y122" i="8564"/>
  <c r="T122" i="8564"/>
  <c r="U122" i="8564"/>
  <c r="V122" i="8564"/>
  <c r="W121" i="8564"/>
  <c r="X121" i="8564"/>
  <c r="Y121" i="8564"/>
  <c r="T121" i="8564"/>
  <c r="U121" i="8564"/>
  <c r="V121" i="8564"/>
  <c r="W120" i="8564"/>
  <c r="X120" i="8564"/>
  <c r="Y120" i="8564"/>
  <c r="T120" i="8564"/>
  <c r="U120" i="8564"/>
  <c r="V120" i="8564"/>
  <c r="W119" i="8564"/>
  <c r="X119" i="8564"/>
  <c r="Y119" i="8564"/>
  <c r="T119" i="8564"/>
  <c r="U119" i="8564"/>
  <c r="V119" i="8564"/>
  <c r="W118" i="8564"/>
  <c r="X118" i="8564"/>
  <c r="Y118" i="8564"/>
  <c r="T118" i="8564"/>
  <c r="U118" i="8564"/>
  <c r="V118" i="8564"/>
  <c r="W117" i="8564"/>
  <c r="X117" i="8564"/>
  <c r="Y117" i="8564"/>
  <c r="T117" i="8564"/>
  <c r="U117" i="8564"/>
  <c r="V117" i="8564"/>
  <c r="W116" i="8564"/>
  <c r="X116" i="8564"/>
  <c r="Y116" i="8564"/>
  <c r="T116" i="8564"/>
  <c r="U116" i="8564"/>
  <c r="V116" i="8564"/>
  <c r="W115" i="8564"/>
  <c r="X115" i="8564"/>
  <c r="Y115" i="8564"/>
  <c r="T115" i="8564"/>
  <c r="U115" i="8564"/>
  <c r="V115" i="8564"/>
  <c r="W114" i="8564"/>
  <c r="X114" i="8564"/>
  <c r="Y114" i="8564"/>
  <c r="T114" i="8564"/>
  <c r="U114" i="8564"/>
  <c r="V114" i="8564"/>
  <c r="W113" i="8564"/>
  <c r="X113" i="8564"/>
  <c r="Y113" i="8564"/>
  <c r="T113" i="8564"/>
  <c r="U113" i="8564"/>
  <c r="V113" i="8564"/>
  <c r="W112" i="8564"/>
  <c r="X112" i="8564"/>
  <c r="Y112" i="8564"/>
  <c r="T112" i="8564"/>
  <c r="U112" i="8564"/>
  <c r="V112" i="8564"/>
  <c r="W111" i="8564"/>
  <c r="X111" i="8564"/>
  <c r="Y111" i="8564"/>
  <c r="T111" i="8564"/>
  <c r="U111" i="8564"/>
  <c r="V111" i="8564"/>
  <c r="W110" i="8564"/>
  <c r="X110" i="8564"/>
  <c r="Y110" i="8564"/>
  <c r="T110" i="8564"/>
  <c r="U110" i="8564"/>
  <c r="V110" i="8564"/>
  <c r="W109" i="8564"/>
  <c r="X109" i="8564"/>
  <c r="Y109" i="8564"/>
  <c r="T109" i="8564"/>
  <c r="U109" i="8564"/>
  <c r="V109" i="8564"/>
  <c r="W108" i="8564"/>
  <c r="X108" i="8564"/>
  <c r="Y108" i="8564"/>
  <c r="T108" i="8564"/>
  <c r="U108" i="8564"/>
  <c r="V108" i="8564"/>
  <c r="W107" i="8564"/>
  <c r="X107" i="8564"/>
  <c r="Y107" i="8564"/>
  <c r="T107" i="8564"/>
  <c r="U107" i="8564"/>
  <c r="V107" i="8564"/>
  <c r="W106" i="8564"/>
  <c r="X106" i="8564"/>
  <c r="Y106" i="8564"/>
  <c r="T106" i="8564"/>
  <c r="U106" i="8564"/>
  <c r="V106" i="8564"/>
  <c r="W105" i="8564"/>
  <c r="X105" i="8564"/>
  <c r="Y105" i="8564"/>
  <c r="T105" i="8564"/>
  <c r="U105" i="8564"/>
  <c r="V105" i="8564"/>
  <c r="W104" i="8564"/>
  <c r="X104" i="8564"/>
  <c r="Y104" i="8564"/>
  <c r="T104" i="8564"/>
  <c r="U104" i="8564"/>
  <c r="V104" i="8564"/>
  <c r="W103" i="8564"/>
  <c r="X103" i="8564"/>
  <c r="Y103" i="8564"/>
  <c r="T103" i="8564"/>
  <c r="U103" i="8564"/>
  <c r="V103" i="8564"/>
  <c r="W102" i="8564"/>
  <c r="X102" i="8564"/>
  <c r="Y102" i="8564"/>
  <c r="T102" i="8564"/>
  <c r="U102" i="8564"/>
  <c r="V102" i="8564"/>
  <c r="W101" i="8564"/>
  <c r="X101" i="8564"/>
  <c r="Y101" i="8564"/>
  <c r="T101" i="8564"/>
  <c r="U101" i="8564"/>
  <c r="V101" i="8564"/>
  <c r="W100" i="8564"/>
  <c r="X100" i="8564"/>
  <c r="Y100" i="8564"/>
  <c r="T100" i="8564"/>
  <c r="U100" i="8564"/>
  <c r="V100" i="8564"/>
  <c r="W99" i="8564"/>
  <c r="X99" i="8564"/>
  <c r="Y99" i="8564"/>
  <c r="T99" i="8564"/>
  <c r="U99" i="8564"/>
  <c r="V99" i="8564"/>
  <c r="W98" i="8564"/>
  <c r="X98" i="8564"/>
  <c r="Y98" i="8564"/>
  <c r="T98" i="8564"/>
  <c r="U98" i="8564"/>
  <c r="V98" i="8564"/>
  <c r="W97" i="8564"/>
  <c r="X97" i="8564"/>
  <c r="Y97" i="8564"/>
  <c r="T97" i="8564"/>
  <c r="U97" i="8564"/>
  <c r="V97" i="8564"/>
  <c r="W96" i="8564"/>
  <c r="X96" i="8564"/>
  <c r="Y96" i="8564"/>
  <c r="T96" i="8564"/>
  <c r="U96" i="8564"/>
  <c r="V96" i="8564"/>
  <c r="W95" i="8564"/>
  <c r="X95" i="8564"/>
  <c r="Y95" i="8564"/>
  <c r="T95" i="8564"/>
  <c r="U95" i="8564"/>
  <c r="V95" i="8564"/>
  <c r="W94" i="8564"/>
  <c r="X94" i="8564"/>
  <c r="Y94" i="8564"/>
  <c r="T94" i="8564"/>
  <c r="U94" i="8564"/>
  <c r="V94" i="8564"/>
  <c r="W93" i="8564"/>
  <c r="X93" i="8564"/>
  <c r="Y93" i="8564"/>
  <c r="T93" i="8564"/>
  <c r="U93" i="8564"/>
  <c r="V93" i="8564"/>
  <c r="W92" i="8564"/>
  <c r="X92" i="8564"/>
  <c r="Y92" i="8564"/>
  <c r="T92" i="8564"/>
  <c r="U92" i="8564"/>
  <c r="V92" i="8564"/>
  <c r="W91" i="8564"/>
  <c r="X91" i="8564"/>
  <c r="Y91" i="8564"/>
  <c r="T91" i="8564"/>
  <c r="U91" i="8564"/>
  <c r="V91" i="8564"/>
  <c r="W90" i="8564"/>
  <c r="X90" i="8564"/>
  <c r="Y90" i="8564"/>
  <c r="T90" i="8564"/>
  <c r="U90" i="8564"/>
  <c r="V90" i="8564"/>
  <c r="W89" i="8564"/>
  <c r="X89" i="8564"/>
  <c r="Y89" i="8564"/>
  <c r="T89" i="8564"/>
  <c r="U89" i="8564"/>
  <c r="V89" i="8564"/>
  <c r="W88" i="8564"/>
  <c r="X88" i="8564"/>
  <c r="Y88" i="8564"/>
  <c r="T88" i="8564"/>
  <c r="U88" i="8564"/>
  <c r="V88" i="8564"/>
  <c r="W87" i="8564"/>
  <c r="X87" i="8564"/>
  <c r="Y87" i="8564"/>
  <c r="T87" i="8564"/>
  <c r="U87" i="8564"/>
  <c r="V87" i="8564"/>
  <c r="W86" i="8564"/>
  <c r="X86" i="8564"/>
  <c r="Y86" i="8564"/>
  <c r="T86" i="8564"/>
  <c r="U86" i="8564"/>
  <c r="V86" i="8564"/>
  <c r="W85" i="8564"/>
  <c r="X85" i="8564"/>
  <c r="Y85" i="8564"/>
  <c r="T85" i="8564"/>
  <c r="U85" i="8564"/>
  <c r="V85" i="8564"/>
  <c r="W84" i="8564"/>
  <c r="X84" i="8564"/>
  <c r="Y84" i="8564"/>
  <c r="T84" i="8564"/>
  <c r="U84" i="8564"/>
  <c r="V84" i="8564"/>
  <c r="W83" i="8564"/>
  <c r="X83" i="8564"/>
  <c r="Y83" i="8564"/>
  <c r="T83" i="8564"/>
  <c r="U83" i="8564"/>
  <c r="V83" i="8564"/>
  <c r="W82" i="8564"/>
  <c r="X82" i="8564"/>
  <c r="Y82" i="8564"/>
  <c r="T82" i="8564"/>
  <c r="U82" i="8564"/>
  <c r="V82" i="8564"/>
  <c r="W81" i="8564"/>
  <c r="X81" i="8564"/>
  <c r="Y81" i="8564"/>
  <c r="T81" i="8564"/>
  <c r="U81" i="8564"/>
  <c r="V81" i="8564"/>
  <c r="W80" i="8564"/>
  <c r="X80" i="8564"/>
  <c r="Y80" i="8564"/>
  <c r="T80" i="8564"/>
  <c r="U80" i="8564"/>
  <c r="V80" i="8564"/>
  <c r="W79" i="8564"/>
  <c r="X79" i="8564"/>
  <c r="Y79" i="8564"/>
  <c r="T79" i="8564"/>
  <c r="U79" i="8564"/>
  <c r="V79" i="8564"/>
  <c r="W78" i="8564"/>
  <c r="X78" i="8564"/>
  <c r="Y78" i="8564"/>
  <c r="T78" i="8564"/>
  <c r="U78" i="8564"/>
  <c r="V78" i="8564"/>
  <c r="W77" i="8564"/>
  <c r="X77" i="8564"/>
  <c r="Y77" i="8564"/>
  <c r="T77" i="8564"/>
  <c r="U77" i="8564"/>
  <c r="V77" i="8564"/>
  <c r="W76" i="8564"/>
  <c r="X76" i="8564"/>
  <c r="Y76" i="8564"/>
  <c r="T76" i="8564"/>
  <c r="U76" i="8564"/>
  <c r="V76" i="8564"/>
  <c r="W75" i="8564"/>
  <c r="X75" i="8564"/>
  <c r="Y75" i="8564"/>
  <c r="T75" i="8564"/>
  <c r="U75" i="8564"/>
  <c r="V75" i="8564"/>
  <c r="W74" i="8564"/>
  <c r="X74" i="8564"/>
  <c r="Y74" i="8564"/>
  <c r="T74" i="8564"/>
  <c r="U74" i="8564"/>
  <c r="V74" i="8564"/>
  <c r="W73" i="8564"/>
  <c r="X73" i="8564"/>
  <c r="Y73" i="8564"/>
  <c r="T73" i="8564"/>
  <c r="U73" i="8564"/>
  <c r="V73" i="8564"/>
  <c r="W72" i="8564"/>
  <c r="X72" i="8564"/>
  <c r="Y72" i="8564"/>
  <c r="T72" i="8564"/>
  <c r="U72" i="8564"/>
  <c r="V72" i="8564"/>
  <c r="W71" i="8564"/>
  <c r="X71" i="8564"/>
  <c r="Y71" i="8564"/>
  <c r="T71" i="8564"/>
  <c r="U71" i="8564"/>
  <c r="V71" i="8564"/>
  <c r="W70" i="8564"/>
  <c r="X70" i="8564"/>
  <c r="Y70" i="8564"/>
  <c r="T70" i="8564"/>
  <c r="U70" i="8564"/>
  <c r="V70" i="8564"/>
  <c r="W69" i="8564"/>
  <c r="X69" i="8564"/>
  <c r="Y69" i="8564"/>
  <c r="T69" i="8564"/>
  <c r="U69" i="8564"/>
  <c r="V69" i="8564"/>
  <c r="W68" i="8564"/>
  <c r="X68" i="8564"/>
  <c r="Y68" i="8564"/>
  <c r="T68" i="8564"/>
  <c r="U68" i="8564"/>
  <c r="V68" i="8564"/>
  <c r="W67" i="8564"/>
  <c r="X67" i="8564"/>
  <c r="Y67" i="8564"/>
  <c r="T67" i="8564"/>
  <c r="U67" i="8564"/>
  <c r="V67" i="8564"/>
  <c r="W66" i="8564"/>
  <c r="X66" i="8564"/>
  <c r="Y66" i="8564"/>
  <c r="T66" i="8564"/>
  <c r="U66" i="8564"/>
  <c r="V66" i="8564"/>
  <c r="W65" i="8564"/>
  <c r="X65" i="8564"/>
  <c r="Y65" i="8564"/>
  <c r="T65" i="8564"/>
  <c r="U65" i="8564"/>
  <c r="V65" i="8564"/>
  <c r="W64" i="8564"/>
  <c r="X64" i="8564"/>
  <c r="Y64" i="8564"/>
  <c r="T64" i="8564"/>
  <c r="U64" i="8564"/>
  <c r="V64" i="8564"/>
  <c r="W63" i="8564"/>
  <c r="X63" i="8564"/>
  <c r="Y63" i="8564"/>
  <c r="T63" i="8564"/>
  <c r="U63" i="8564"/>
  <c r="V63" i="8564"/>
  <c r="W62" i="8564"/>
  <c r="X62" i="8564"/>
  <c r="Y62" i="8564"/>
  <c r="T62" i="8564"/>
  <c r="U62" i="8564"/>
  <c r="V62" i="8564"/>
  <c r="W61" i="8564"/>
  <c r="X61" i="8564"/>
  <c r="Y61" i="8564"/>
  <c r="T61" i="8564"/>
  <c r="U61" i="8564"/>
  <c r="V61" i="8564"/>
  <c r="W60" i="8564"/>
  <c r="X60" i="8564"/>
  <c r="Y60" i="8564"/>
  <c r="T60" i="8564"/>
  <c r="U60" i="8564"/>
  <c r="V60" i="8564"/>
  <c r="W59" i="8564"/>
  <c r="X59" i="8564"/>
  <c r="Y59" i="8564"/>
  <c r="T59" i="8564"/>
  <c r="U59" i="8564"/>
  <c r="V59" i="8564"/>
  <c r="W58" i="8564"/>
  <c r="X58" i="8564"/>
  <c r="Y58" i="8564"/>
  <c r="T58" i="8564"/>
  <c r="U58" i="8564"/>
  <c r="V58" i="8564"/>
  <c r="W57" i="8564"/>
  <c r="X57" i="8564"/>
  <c r="Y57" i="8564"/>
  <c r="T57" i="8564"/>
  <c r="U57" i="8564"/>
  <c r="V57" i="8564"/>
  <c r="W56" i="8564"/>
  <c r="X56" i="8564"/>
  <c r="Y56" i="8564"/>
  <c r="T56" i="8564"/>
  <c r="U56" i="8564"/>
  <c r="V56" i="8564"/>
  <c r="W55" i="8564"/>
  <c r="X55" i="8564"/>
  <c r="Y55" i="8564"/>
  <c r="T55" i="8564"/>
  <c r="U55" i="8564"/>
  <c r="V55" i="8564"/>
  <c r="W54" i="8564"/>
  <c r="X54" i="8564"/>
  <c r="Y54" i="8564"/>
  <c r="T54" i="8564"/>
  <c r="U54" i="8564"/>
  <c r="V54" i="8564"/>
  <c r="W53" i="8564"/>
  <c r="X53" i="8564"/>
  <c r="Y53" i="8564"/>
  <c r="T53" i="8564"/>
  <c r="U53" i="8564"/>
  <c r="V53" i="8564"/>
  <c r="W52" i="8564"/>
  <c r="X52" i="8564"/>
  <c r="Y52" i="8564"/>
  <c r="T52" i="8564"/>
  <c r="U52" i="8564"/>
  <c r="V52" i="8564"/>
  <c r="W51" i="8564"/>
  <c r="X51" i="8564"/>
  <c r="Y51" i="8564"/>
  <c r="T51" i="8564"/>
  <c r="U51" i="8564"/>
  <c r="V51" i="8564"/>
  <c r="W50" i="8564"/>
  <c r="X50" i="8564"/>
  <c r="Y50" i="8564"/>
  <c r="T50" i="8564"/>
  <c r="U50" i="8564"/>
  <c r="V50" i="8564"/>
  <c r="W49" i="8564"/>
  <c r="X49" i="8564"/>
  <c r="Y49" i="8564"/>
  <c r="T49" i="8564"/>
  <c r="U49" i="8564"/>
  <c r="V49" i="8564"/>
  <c r="W48" i="8564"/>
  <c r="X48" i="8564"/>
  <c r="Y48" i="8564"/>
  <c r="T48" i="8564"/>
  <c r="U48" i="8564"/>
  <c r="V48" i="8564"/>
  <c r="W47" i="8564"/>
  <c r="X47" i="8564"/>
  <c r="Y47" i="8564"/>
  <c r="T47" i="8564"/>
  <c r="U47" i="8564"/>
  <c r="V47" i="8564"/>
  <c r="W46" i="8564"/>
  <c r="X46" i="8564"/>
  <c r="Y46" i="8564"/>
  <c r="T46" i="8564"/>
  <c r="U46" i="8564"/>
  <c r="V46" i="8564"/>
  <c r="W45" i="8564"/>
  <c r="X45" i="8564"/>
  <c r="Y45" i="8564"/>
  <c r="T45" i="8564"/>
  <c r="U45" i="8564"/>
  <c r="V45" i="8564"/>
  <c r="W44" i="8564"/>
  <c r="X44" i="8564"/>
  <c r="Y44" i="8564"/>
  <c r="T44" i="8564"/>
  <c r="U44" i="8564"/>
  <c r="V44" i="8564"/>
  <c r="W43" i="8564"/>
  <c r="X43" i="8564"/>
  <c r="Y43" i="8564"/>
  <c r="T43" i="8564"/>
  <c r="U43" i="8564"/>
  <c r="V43" i="8564"/>
  <c r="W42" i="8564"/>
  <c r="X42" i="8564"/>
  <c r="Y42" i="8564"/>
  <c r="T42" i="8564"/>
  <c r="U42" i="8564"/>
  <c r="V42" i="8564"/>
  <c r="W41" i="8564"/>
  <c r="X41" i="8564"/>
  <c r="Y41" i="8564"/>
  <c r="T41" i="8564"/>
  <c r="U41" i="8564"/>
  <c r="V41" i="8564"/>
  <c r="W40" i="8564"/>
  <c r="X40" i="8564"/>
  <c r="Y40" i="8564"/>
  <c r="T40" i="8564"/>
  <c r="U40" i="8564"/>
  <c r="V40" i="8564"/>
  <c r="W39" i="8564"/>
  <c r="X39" i="8564"/>
  <c r="Y39" i="8564"/>
  <c r="T39" i="8564"/>
  <c r="U39" i="8564"/>
  <c r="V39" i="8564"/>
  <c r="W38" i="8564"/>
  <c r="X38" i="8564"/>
  <c r="Y38" i="8564"/>
  <c r="T38" i="8564"/>
  <c r="U38" i="8564"/>
  <c r="V38" i="8564"/>
  <c r="W37" i="8564"/>
  <c r="X37" i="8564"/>
  <c r="Y37" i="8564"/>
  <c r="T37" i="8564"/>
  <c r="U37" i="8564"/>
  <c r="V37" i="8564"/>
  <c r="W36" i="8564"/>
  <c r="X36" i="8564"/>
  <c r="Y36" i="8564"/>
  <c r="T36" i="8564"/>
  <c r="U36" i="8564"/>
  <c r="V36" i="8564"/>
  <c r="W35" i="8564"/>
  <c r="X35" i="8564"/>
  <c r="Y35" i="8564"/>
  <c r="T35" i="8564"/>
  <c r="U35" i="8564"/>
  <c r="V35" i="8564"/>
  <c r="W34" i="8564"/>
  <c r="X34" i="8564"/>
  <c r="Y34" i="8564"/>
  <c r="T34" i="8564"/>
  <c r="U34" i="8564"/>
  <c r="V34" i="8564"/>
  <c r="W33" i="8564"/>
  <c r="X33" i="8564"/>
  <c r="Y33" i="8564"/>
  <c r="T33" i="8564"/>
  <c r="U33" i="8564"/>
  <c r="V33" i="8564"/>
  <c r="W32" i="8564"/>
  <c r="X32" i="8564"/>
  <c r="Y32" i="8564"/>
  <c r="T32" i="8564"/>
  <c r="U32" i="8564"/>
  <c r="V32" i="8564"/>
  <c r="W31" i="8564"/>
  <c r="X31" i="8564"/>
  <c r="Y31" i="8564"/>
  <c r="T31" i="8564"/>
  <c r="U31" i="8564"/>
  <c r="V31" i="8564"/>
  <c r="W30" i="8564"/>
  <c r="X30" i="8564"/>
  <c r="Y30" i="8564"/>
  <c r="T30" i="8564"/>
  <c r="U30" i="8564"/>
  <c r="V30" i="8564"/>
  <c r="W29" i="8564"/>
  <c r="X29" i="8564"/>
  <c r="Y29" i="8564"/>
  <c r="T29" i="8564"/>
  <c r="U29" i="8564"/>
  <c r="V29" i="8564"/>
  <c r="W28" i="8564"/>
  <c r="X28" i="8564"/>
  <c r="Y28" i="8564"/>
  <c r="T28" i="8564"/>
  <c r="U28" i="8564"/>
  <c r="V28" i="8564"/>
  <c r="W27" i="8564"/>
  <c r="X27" i="8564"/>
  <c r="Y27" i="8564"/>
  <c r="T27" i="8564"/>
  <c r="U27" i="8564"/>
  <c r="V27" i="8564"/>
  <c r="W26" i="8564"/>
  <c r="X26" i="8564"/>
  <c r="Y26" i="8564"/>
  <c r="T26" i="8564"/>
  <c r="U26" i="8564"/>
  <c r="V26" i="8564"/>
  <c r="W25" i="8564"/>
  <c r="X25" i="8564"/>
  <c r="Y25" i="8564"/>
  <c r="T25" i="8564"/>
  <c r="U25" i="8564"/>
  <c r="V25" i="8564"/>
  <c r="W24" i="8564"/>
  <c r="X24" i="8564"/>
  <c r="Y24" i="8564"/>
  <c r="T24" i="8564"/>
  <c r="U24" i="8564"/>
  <c r="V24" i="8564"/>
  <c r="W23" i="8564"/>
  <c r="X23" i="8564"/>
  <c r="Y23" i="8564"/>
  <c r="T23" i="8564"/>
  <c r="U23" i="8564"/>
  <c r="V23" i="8564"/>
  <c r="W22" i="8564"/>
  <c r="X22" i="8564"/>
  <c r="Y22" i="8564"/>
  <c r="T22" i="8564"/>
  <c r="U22" i="8564"/>
  <c r="V22" i="8564"/>
  <c r="W21" i="8564"/>
  <c r="X21" i="8564"/>
  <c r="Y21" i="8564"/>
  <c r="T21" i="8564"/>
  <c r="U21" i="8564"/>
  <c r="V21" i="8564"/>
  <c r="W20" i="8564"/>
  <c r="X20" i="8564"/>
  <c r="Y20" i="8564"/>
  <c r="T20" i="8564"/>
  <c r="U20" i="8564"/>
  <c r="V20" i="8564"/>
  <c r="W19" i="8564"/>
  <c r="X19" i="8564"/>
  <c r="Y19" i="8564"/>
  <c r="T19" i="8564"/>
  <c r="U19" i="8564"/>
  <c r="V19" i="8564"/>
  <c r="W18" i="8564"/>
  <c r="X18" i="8564"/>
  <c r="Y18" i="8564"/>
  <c r="T18" i="8564"/>
  <c r="U18" i="8564"/>
  <c r="V18" i="8564"/>
  <c r="W17" i="8564"/>
  <c r="X17" i="8564"/>
  <c r="Y17" i="8564"/>
  <c r="T17" i="8564"/>
  <c r="U17" i="8564"/>
  <c r="V17" i="8564"/>
  <c r="W16" i="8564"/>
  <c r="X16" i="8564"/>
  <c r="Y16" i="8564"/>
  <c r="T16" i="8564"/>
  <c r="U16" i="8564"/>
  <c r="V16" i="8564"/>
  <c r="W15" i="8564"/>
  <c r="X15" i="8564"/>
  <c r="Y15" i="8564"/>
  <c r="T15" i="8564"/>
  <c r="U15" i="8564"/>
  <c r="V15" i="8564"/>
  <c r="W14" i="8564"/>
  <c r="X14" i="8564"/>
  <c r="Y14" i="8564"/>
  <c r="T14" i="8564"/>
  <c r="U14" i="8564"/>
  <c r="V14" i="8564"/>
  <c r="W13" i="8564"/>
  <c r="X13" i="8564"/>
  <c r="Y13" i="8564"/>
  <c r="T13" i="8564"/>
  <c r="U13" i="8564"/>
  <c r="V13" i="8564"/>
  <c r="W12" i="8564"/>
  <c r="X12" i="8564"/>
  <c r="Y12" i="8564"/>
  <c r="T12" i="8564"/>
  <c r="U12" i="8564"/>
  <c r="V12" i="8564"/>
  <c r="W11" i="8564"/>
  <c r="X11" i="8564"/>
  <c r="Y11" i="8564"/>
  <c r="T11" i="8564"/>
  <c r="U11" i="8564"/>
  <c r="V11" i="8564"/>
  <c r="W10" i="8564"/>
  <c r="X10" i="8564"/>
  <c r="Y10" i="8564"/>
  <c r="T10" i="8564"/>
  <c r="U10" i="8564"/>
  <c r="V10" i="8564"/>
  <c r="W9" i="8564"/>
  <c r="X9" i="8564"/>
  <c r="Y9" i="8564"/>
  <c r="T9" i="8564"/>
  <c r="U9" i="8564"/>
  <c r="V9" i="8564"/>
  <c r="W8" i="8564"/>
  <c r="X8" i="8564"/>
  <c r="Y8" i="8564"/>
  <c r="T8" i="8564"/>
  <c r="U8" i="8564"/>
  <c r="V8" i="8564"/>
  <c r="W7" i="8564"/>
  <c r="X7" i="8564"/>
  <c r="Y7" i="8564"/>
  <c r="T7" i="8564"/>
  <c r="U7" i="8564"/>
  <c r="V7" i="8564"/>
  <c r="W6" i="8564"/>
  <c r="X6" i="8564"/>
  <c r="Y6" i="8564"/>
  <c r="T6" i="8564"/>
  <c r="U6" i="8564"/>
  <c r="V6" i="8564"/>
  <c r="W5" i="8564"/>
  <c r="X5" i="8564"/>
  <c r="Y5" i="8564"/>
  <c r="T5" i="8564"/>
  <c r="U5" i="8564"/>
  <c r="V5" i="8564"/>
  <c r="W4" i="8564"/>
  <c r="X4" i="8564"/>
  <c r="Y4" i="8564"/>
  <c r="T4" i="8564"/>
  <c r="U4" i="8564"/>
  <c r="V4" i="8564"/>
  <c r="W3" i="8564"/>
  <c r="X3" i="8564"/>
  <c r="Y3" i="8564"/>
  <c r="T3" i="8564"/>
  <c r="U3" i="8564"/>
  <c r="V3" i="8564"/>
  <c r="W2" i="8564"/>
  <c r="X2" i="8564"/>
  <c r="Y2" i="8564"/>
  <c r="T2" i="8564"/>
  <c r="U2" i="8564"/>
  <c r="V2" i="8564"/>
</calcChain>
</file>

<file path=xl/sharedStrings.xml><?xml version="1.0" encoding="utf-8"?>
<sst xmlns="http://schemas.openxmlformats.org/spreadsheetml/2006/main" count="2973" uniqueCount="155">
  <si>
    <t>Longitude</t>
  </si>
  <si>
    <t>開始日時</t>
    <rPh sb="0" eb="2">
      <t>カイシ</t>
    </rPh>
    <rPh sb="2" eb="4">
      <t>ニチジ</t>
    </rPh>
    <phoneticPr fontId="1"/>
  </si>
  <si>
    <t>終了日時</t>
    <rPh sb="0" eb="2">
      <t>シュウリョウ</t>
    </rPh>
    <rPh sb="2" eb="4">
      <t>ニチジ</t>
    </rPh>
    <phoneticPr fontId="1"/>
  </si>
  <si>
    <t>Latitude</t>
    <phoneticPr fontId="1"/>
  </si>
  <si>
    <t>画像</t>
    <rPh sb="0" eb="2">
      <t>ガゾウ</t>
    </rPh>
    <phoneticPr fontId="1"/>
  </si>
  <si>
    <t>NOML000013</t>
    <phoneticPr fontId="1"/>
  </si>
  <si>
    <t>NOML000015</t>
    <phoneticPr fontId="1"/>
  </si>
  <si>
    <t>NOML000016</t>
    <phoneticPr fontId="1"/>
  </si>
  <si>
    <t>NOML000018</t>
    <phoneticPr fontId="1"/>
  </si>
  <si>
    <t>NOML000019</t>
    <phoneticPr fontId="1"/>
  </si>
  <si>
    <t>NOML000020</t>
    <phoneticPr fontId="1"/>
  </si>
  <si>
    <t>NOML000022</t>
    <phoneticPr fontId="1"/>
  </si>
  <si>
    <t>NOML000023</t>
    <phoneticPr fontId="1"/>
  </si>
  <si>
    <t>NOML000025</t>
    <phoneticPr fontId="1"/>
  </si>
  <si>
    <t>NOML000027</t>
    <phoneticPr fontId="1"/>
  </si>
  <si>
    <t>NOML000028</t>
    <phoneticPr fontId="1"/>
  </si>
  <si>
    <t>NOML000030</t>
    <phoneticPr fontId="1"/>
  </si>
  <si>
    <t>NOML000031</t>
    <phoneticPr fontId="1"/>
  </si>
  <si>
    <t>NOML000033</t>
    <phoneticPr fontId="1"/>
  </si>
  <si>
    <t>NOML000034</t>
    <phoneticPr fontId="1"/>
  </si>
  <si>
    <t>NOML000036</t>
    <phoneticPr fontId="1"/>
  </si>
  <si>
    <t>NOML000037</t>
    <phoneticPr fontId="1"/>
  </si>
  <si>
    <t>地点</t>
    <rPh sb="0" eb="2">
      <t>チテン</t>
    </rPh>
    <phoneticPr fontId="1"/>
  </si>
  <si>
    <t>N37.37.58.7</t>
    <phoneticPr fontId="1"/>
  </si>
  <si>
    <t>E141.00.45.8</t>
    <phoneticPr fontId="1"/>
  </si>
  <si>
    <t>E141.00.45.9</t>
    <phoneticPr fontId="1"/>
  </si>
  <si>
    <t>E141.00.46.1</t>
    <phoneticPr fontId="1"/>
  </si>
  <si>
    <t>N37.37.58.8</t>
    <phoneticPr fontId="1"/>
  </si>
  <si>
    <t>E141.00.46.3</t>
    <phoneticPr fontId="1"/>
  </si>
  <si>
    <t>N37.37.58.9</t>
    <phoneticPr fontId="1"/>
  </si>
  <si>
    <t>E141.00.46.4</t>
    <phoneticPr fontId="1"/>
  </si>
  <si>
    <t>E141.00.46.7</t>
    <phoneticPr fontId="1"/>
  </si>
  <si>
    <t>E141.00.46.9</t>
    <phoneticPr fontId="1"/>
  </si>
  <si>
    <t>E141.00.47.1</t>
    <phoneticPr fontId="1"/>
  </si>
  <si>
    <t>E141.00.47.2</t>
    <phoneticPr fontId="1"/>
  </si>
  <si>
    <t>E141.00.47.4</t>
    <phoneticPr fontId="1"/>
  </si>
  <si>
    <t>E141.00.47.7</t>
    <phoneticPr fontId="1"/>
  </si>
  <si>
    <t>E141.00.47.9</t>
    <phoneticPr fontId="1"/>
  </si>
  <si>
    <t>E141.00.48.1</t>
    <phoneticPr fontId="1"/>
  </si>
  <si>
    <t>E141.00.48.3</t>
    <phoneticPr fontId="1"/>
  </si>
  <si>
    <t>E141.00.48.4</t>
    <phoneticPr fontId="1"/>
  </si>
  <si>
    <t>E141.00.48.6</t>
    <phoneticPr fontId="1"/>
  </si>
  <si>
    <t>E141.00.48.9</t>
    <phoneticPr fontId="1"/>
  </si>
  <si>
    <t>測定時刻</t>
  </si>
  <si>
    <t>ステータス</t>
  </si>
  <si>
    <t>緯度</t>
  </si>
  <si>
    <t>北緯・南緯</t>
  </si>
  <si>
    <t>経度</t>
  </si>
  <si>
    <t>東経・西経</t>
  </si>
  <si>
    <t>速さ</t>
  </si>
  <si>
    <t>進行方向</t>
  </si>
  <si>
    <t>UTC日付</t>
  </si>
  <si>
    <t>磁北と真北の間の角度の差</t>
  </si>
  <si>
    <t>磁北と真北の間の角度の差の方向</t>
  </si>
  <si>
    <t>モード</t>
  </si>
  <si>
    <t>チェックサム</t>
  </si>
  <si>
    <t>$GPRMC</t>
  </si>
  <si>
    <t>A</t>
  </si>
  <si>
    <t>N</t>
  </si>
  <si>
    <t>E</t>
  </si>
  <si>
    <t>V*13</t>
  </si>
  <si>
    <t>V*1C</t>
  </si>
  <si>
    <t>V*12</t>
  </si>
  <si>
    <t>V*1E</t>
  </si>
  <si>
    <t>V*1D</t>
  </si>
  <si>
    <t>V*1A</t>
  </si>
  <si>
    <t>V*10</t>
  </si>
  <si>
    <t>V*18</t>
  </si>
  <si>
    <t>V*19</t>
  </si>
  <si>
    <t>V*15</t>
  </si>
  <si>
    <t>V*14</t>
  </si>
  <si>
    <t>V*2F</t>
  </si>
  <si>
    <t>V*2D</t>
  </si>
  <si>
    <t>V*28</t>
  </si>
  <si>
    <t>V*20</t>
  </si>
  <si>
    <t>V*25</t>
  </si>
  <si>
    <t>V*24</t>
  </si>
  <si>
    <t>V*26</t>
  </si>
  <si>
    <t>V*23</t>
  </si>
  <si>
    <t>V*21</t>
  </si>
  <si>
    <t>V*2E</t>
  </si>
  <si>
    <t>V*2A</t>
  </si>
  <si>
    <t>V*2B</t>
  </si>
  <si>
    <t>V*2C</t>
  </si>
  <si>
    <t>V*22</t>
  </si>
  <si>
    <t>V*27</t>
  </si>
  <si>
    <t>V*29</t>
  </si>
  <si>
    <t>V*11</t>
  </si>
  <si>
    <t>V*1F</t>
  </si>
  <si>
    <t>V*1B</t>
  </si>
  <si>
    <t>V*16</t>
  </si>
  <si>
    <t>V*17</t>
  </si>
  <si>
    <t>緯度角度誤差</t>
  </si>
  <si>
    <t>経度角度誤差</t>
  </si>
  <si>
    <t>緯度距離誤差</t>
  </si>
  <si>
    <t>経度距離誤差</t>
  </si>
  <si>
    <t>ドラレコ緯度</t>
  </si>
  <si>
    <t>ドラレコ経度</t>
  </si>
  <si>
    <t>計測緯度</t>
  </si>
  <si>
    <t>計測経度</t>
  </si>
  <si>
    <t>緯度標準偏差</t>
  </si>
  <si>
    <t>経度標準偏差</t>
  </si>
  <si>
    <t>直線距離誤差</t>
  </si>
  <si>
    <t>緯度グラフ区間</t>
  </si>
  <si>
    <t>経度グラフ区間</t>
  </si>
  <si>
    <t>緯度誤差2乗</t>
  </si>
  <si>
    <t>経度誤差2乗</t>
  </si>
  <si>
    <t>直線誤差2乗</t>
  </si>
  <si>
    <t>基準位置</t>
  </si>
  <si>
    <t>区間</t>
  </si>
  <si>
    <t>個数</t>
  </si>
  <si>
    <t>直線グラフ区間</t>
  </si>
  <si>
    <t>標準偏差</t>
  </si>
  <si>
    <t>計測箇所</t>
  </si>
  <si>
    <t>時間</t>
  </si>
  <si>
    <t>測定緯度</t>
  </si>
  <si>
    <t>測定経度</t>
  </si>
  <si>
    <t>(R)受信感度</t>
  </si>
  <si>
    <t>(R)緯度</t>
  </si>
  <si>
    <t>(R)経度</t>
  </si>
  <si>
    <t>(R)速さ</t>
  </si>
  <si>
    <t>(R)方向</t>
  </si>
  <si>
    <t>(S)受信感度</t>
  </si>
  <si>
    <t>(S)緯度</t>
  </si>
  <si>
    <t>(S)経度</t>
  </si>
  <si>
    <t>(S)速さ</t>
  </si>
  <si>
    <t>(S)方向</t>
  </si>
  <si>
    <t>2点間の距離</t>
  </si>
  <si>
    <t>データ群</t>
  </si>
  <si>
    <t>A10km</t>
  </si>
  <si>
    <t>A10km</t>
    <phoneticPr fontId="1"/>
  </si>
  <si>
    <t>B20km</t>
  </si>
  <si>
    <t>B20km</t>
    <phoneticPr fontId="1"/>
  </si>
  <si>
    <t>C10km</t>
  </si>
  <si>
    <t>C10km</t>
    <phoneticPr fontId="1"/>
  </si>
  <si>
    <t>D10km</t>
  </si>
  <si>
    <t>D10km</t>
    <phoneticPr fontId="1"/>
  </si>
  <si>
    <t>E10km</t>
  </si>
  <si>
    <t>E10km</t>
    <phoneticPr fontId="1"/>
  </si>
  <si>
    <t>F20km</t>
  </si>
  <si>
    <t>F20km</t>
    <phoneticPr fontId="1"/>
  </si>
  <si>
    <t>G40km</t>
  </si>
  <si>
    <t>G40km</t>
    <phoneticPr fontId="1"/>
  </si>
  <si>
    <t>H10km</t>
  </si>
  <si>
    <t>H10km</t>
    <phoneticPr fontId="1"/>
  </si>
  <si>
    <t>I20km</t>
  </si>
  <si>
    <t>I20km</t>
    <phoneticPr fontId="1"/>
  </si>
  <si>
    <t>J10km</t>
  </si>
  <si>
    <t>J10km</t>
    <phoneticPr fontId="1"/>
  </si>
  <si>
    <t>K20km</t>
  </si>
  <si>
    <t>K20km</t>
    <phoneticPr fontId="1"/>
  </si>
  <si>
    <t>L30km</t>
  </si>
  <si>
    <t>L30km</t>
    <phoneticPr fontId="1"/>
  </si>
  <si>
    <t>M20km</t>
  </si>
  <si>
    <t>M20km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</si>
</sst>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/d\ h:mm:ss"/>
    <numFmt numFmtId="177" formatCode="0.000000"/>
    <numFmt numFmtId="178" formatCode="hh:mm:ss"/>
    <numFmt numFmtId="179" formatCode="0.0000"/>
    <numFmt numFmtId="180" formatCode="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'基準点データグラフ（緯度）'!$C$1</c:f>
              <c:strCache>
                <c:ptCount val="1"/>
                <c:pt idx="0">
                  <c:v>個数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'基準点データグラフ（緯度）'!$A$2:$A$22</c:f>
              <c:numCache>
                <c:formatCode>0.0</c:formatCode>
                <c:ptCount val="21"/>
                <c:pt idx="0">
                  <c:v>-2</c:v>
                </c:pt>
                <c:pt idx="1">
                  <c:v>-1.8</c:v>
                </c:pt>
                <c:pt idx="2">
                  <c:v>-1.6</c:v>
                </c:pt>
                <c:pt idx="3">
                  <c:v>-1.4000000000000001</c:v>
                </c:pt>
                <c:pt idx="4">
                  <c:v>-1.2000000000000002</c:v>
                </c:pt>
                <c:pt idx="5">
                  <c:v>-1</c:v>
                </c:pt>
                <c:pt idx="6">
                  <c:v>-0.8</c:v>
                </c:pt>
                <c:pt idx="7">
                  <c:v>-0.60000000000000009</c:v>
                </c:pt>
                <c:pt idx="8">
                  <c:v>-0.4</c:v>
                </c:pt>
                <c:pt idx="9">
                  <c:v>-0.2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0.60000000000000009</c:v>
                </c:pt>
                <c:pt idx="14">
                  <c:v>0.8</c:v>
                </c:pt>
                <c:pt idx="15">
                  <c:v>1</c:v>
                </c:pt>
                <c:pt idx="16">
                  <c:v>1.2000000000000002</c:v>
                </c:pt>
                <c:pt idx="17">
                  <c:v>1.4000000000000001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</c:numCache>
            </c:numRef>
          </c:xVal>
          <c:yVal>
            <c:numRef>
              <c:f>'基準点データグラフ（緯度）'!$C$2:$C$22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14</c:v>
                </c:pt>
                <c:pt idx="6">
                  <c:v>15</c:v>
                </c:pt>
                <c:pt idx="7">
                  <c:v>22</c:v>
                </c:pt>
                <c:pt idx="8">
                  <c:v>55</c:v>
                </c:pt>
                <c:pt idx="9">
                  <c:v>63</c:v>
                </c:pt>
                <c:pt idx="10">
                  <c:v>49</c:v>
                </c:pt>
                <c:pt idx="11">
                  <c:v>36</c:v>
                </c:pt>
                <c:pt idx="12">
                  <c:v>35</c:v>
                </c:pt>
                <c:pt idx="13">
                  <c:v>41</c:v>
                </c:pt>
                <c:pt idx="14">
                  <c:v>14</c:v>
                </c:pt>
                <c:pt idx="15">
                  <c:v>8</c:v>
                </c:pt>
                <c:pt idx="16">
                  <c:v>3</c:v>
                </c:pt>
                <c:pt idx="17">
                  <c:v>0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74-4784-85A2-A21206500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20224"/>
        <c:axId val="1998748496"/>
      </c:scatterChart>
      <c:valAx>
        <c:axId val="67820224"/>
        <c:scaling>
          <c:orientation val="minMax"/>
          <c:max val="2.1"/>
          <c:min val="-2.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点間の距離の区間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.0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748496"/>
        <c:crosses val="autoZero"/>
        <c:crossBetween val="midCat"/>
        <c:majorUnit val="0.2"/>
      </c:valAx>
      <c:valAx>
        <c:axId val="1998748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データ数</a:t>
                </a:r>
                <a:r>
                  <a:rPr lang="en-US" altLang="ja-JP" b="0"/>
                  <a:t>[</a:t>
                </a:r>
                <a:r>
                  <a:rPr lang="ja-JP" altLang="en-US" b="0"/>
                  <a:t>個</a:t>
                </a:r>
                <a:r>
                  <a:rPr lang="en-US" altLang="ja-JP" b="0"/>
                  <a:t>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820224"/>
        <c:crossesAt val="-2.1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'基準点データグラフ（経度）'!$C$1</c:f>
              <c:strCache>
                <c:ptCount val="1"/>
                <c:pt idx="0">
                  <c:v>個数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'基準点データグラフ（経度）'!$A$2:$A$55</c:f>
              <c:numCache>
                <c:formatCode>0.0</c:formatCode>
                <c:ptCount val="54"/>
                <c:pt idx="0">
                  <c:v>-9</c:v>
                </c:pt>
                <c:pt idx="1">
                  <c:v>-8.8000000000000007</c:v>
                </c:pt>
                <c:pt idx="2">
                  <c:v>-8.6</c:v>
                </c:pt>
                <c:pt idx="3">
                  <c:v>-8.4</c:v>
                </c:pt>
                <c:pt idx="4">
                  <c:v>-8.2000000000000011</c:v>
                </c:pt>
                <c:pt idx="5">
                  <c:v>-8</c:v>
                </c:pt>
                <c:pt idx="6">
                  <c:v>-7.8000000000000007</c:v>
                </c:pt>
                <c:pt idx="7">
                  <c:v>-7.6000000000000005</c:v>
                </c:pt>
                <c:pt idx="8">
                  <c:v>-7.4</c:v>
                </c:pt>
                <c:pt idx="9">
                  <c:v>-7.2</c:v>
                </c:pt>
                <c:pt idx="10">
                  <c:v>-7</c:v>
                </c:pt>
                <c:pt idx="11">
                  <c:v>-6.8000000000000007</c:v>
                </c:pt>
                <c:pt idx="12">
                  <c:v>-6.6000000000000005</c:v>
                </c:pt>
                <c:pt idx="13">
                  <c:v>-6.4</c:v>
                </c:pt>
                <c:pt idx="14">
                  <c:v>-6.2</c:v>
                </c:pt>
                <c:pt idx="15">
                  <c:v>-6</c:v>
                </c:pt>
                <c:pt idx="16">
                  <c:v>-5.8000000000000007</c:v>
                </c:pt>
                <c:pt idx="17">
                  <c:v>-5.6000000000000005</c:v>
                </c:pt>
                <c:pt idx="18">
                  <c:v>-5.4</c:v>
                </c:pt>
                <c:pt idx="19">
                  <c:v>-5.2</c:v>
                </c:pt>
                <c:pt idx="20">
                  <c:v>-5</c:v>
                </c:pt>
                <c:pt idx="21">
                  <c:v>-4.8000000000000007</c:v>
                </c:pt>
                <c:pt idx="22">
                  <c:v>-4.6000000000000005</c:v>
                </c:pt>
                <c:pt idx="23">
                  <c:v>-4.4000000000000004</c:v>
                </c:pt>
                <c:pt idx="24">
                  <c:v>-4.2</c:v>
                </c:pt>
                <c:pt idx="25">
                  <c:v>-4</c:v>
                </c:pt>
                <c:pt idx="26">
                  <c:v>-3.8000000000000003</c:v>
                </c:pt>
                <c:pt idx="27">
                  <c:v>-3.6</c:v>
                </c:pt>
                <c:pt idx="28">
                  <c:v>-3.4000000000000004</c:v>
                </c:pt>
                <c:pt idx="29">
                  <c:v>-3.2</c:v>
                </c:pt>
                <c:pt idx="30">
                  <c:v>-3</c:v>
                </c:pt>
                <c:pt idx="31">
                  <c:v>-2.8000000000000003</c:v>
                </c:pt>
                <c:pt idx="32">
                  <c:v>-2.6</c:v>
                </c:pt>
                <c:pt idx="33">
                  <c:v>-2.4000000000000004</c:v>
                </c:pt>
                <c:pt idx="34">
                  <c:v>-2.2000000000000002</c:v>
                </c:pt>
                <c:pt idx="35">
                  <c:v>-2</c:v>
                </c:pt>
                <c:pt idx="36">
                  <c:v>-1.8</c:v>
                </c:pt>
                <c:pt idx="37">
                  <c:v>-1.6</c:v>
                </c:pt>
                <c:pt idx="38">
                  <c:v>-1.4000000000000001</c:v>
                </c:pt>
                <c:pt idx="39">
                  <c:v>-1.2000000000000002</c:v>
                </c:pt>
                <c:pt idx="40">
                  <c:v>-1</c:v>
                </c:pt>
                <c:pt idx="41">
                  <c:v>-0.8</c:v>
                </c:pt>
                <c:pt idx="42">
                  <c:v>-0.60000000000000009</c:v>
                </c:pt>
                <c:pt idx="43">
                  <c:v>-0.4</c:v>
                </c:pt>
                <c:pt idx="44">
                  <c:v>-0.2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1.2000000000000002</c:v>
                </c:pt>
                <c:pt idx="52">
                  <c:v>1.4000000000000001</c:v>
                </c:pt>
                <c:pt idx="53">
                  <c:v>1.6</c:v>
                </c:pt>
              </c:numCache>
            </c:numRef>
          </c:xVal>
          <c:yVal>
            <c:numRef>
              <c:f>'基準点データグラフ（経度）'!$C$2:$C$55</c:f>
              <c:numCache>
                <c:formatCode>General</c:formatCode>
                <c:ptCount val="5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7</c:v>
                </c:pt>
                <c:pt idx="41">
                  <c:v>1</c:v>
                </c:pt>
                <c:pt idx="42">
                  <c:v>30</c:v>
                </c:pt>
                <c:pt idx="43">
                  <c:v>48</c:v>
                </c:pt>
                <c:pt idx="44">
                  <c:v>45</c:v>
                </c:pt>
                <c:pt idx="45">
                  <c:v>83</c:v>
                </c:pt>
                <c:pt idx="46">
                  <c:v>60</c:v>
                </c:pt>
                <c:pt idx="47">
                  <c:v>50</c:v>
                </c:pt>
                <c:pt idx="48">
                  <c:v>18</c:v>
                </c:pt>
                <c:pt idx="49">
                  <c:v>12</c:v>
                </c:pt>
                <c:pt idx="50">
                  <c:v>6</c:v>
                </c:pt>
                <c:pt idx="51">
                  <c:v>1</c:v>
                </c:pt>
                <c:pt idx="52">
                  <c:v>0</c:v>
                </c:pt>
                <c:pt idx="5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98-48FF-9FE5-A207B5E84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44928"/>
        <c:axId val="1995965440"/>
      </c:scatterChart>
      <c:valAx>
        <c:axId val="67944928"/>
        <c:scaling>
          <c:orientation val="minMax"/>
          <c:max val="1.7000000000000002"/>
          <c:min val="-9.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点間の距離の区間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.0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965440"/>
        <c:crosses val="autoZero"/>
        <c:crossBetween val="midCat"/>
        <c:majorUnit val="0.2"/>
      </c:valAx>
      <c:valAx>
        <c:axId val="1995965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データ数</a:t>
                </a:r>
                <a:r>
                  <a:rPr lang="en-US" altLang="ja-JP" b="0"/>
                  <a:t>[</a:t>
                </a:r>
                <a:r>
                  <a:rPr lang="ja-JP" altLang="en-US" b="0"/>
                  <a:t>個</a:t>
                </a:r>
                <a:r>
                  <a:rPr lang="en-US" altLang="ja-JP" b="0"/>
                  <a:t>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44928"/>
        <c:crossesAt val="-9.1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'基準点データグラフ（直線）'!$C$1</c:f>
              <c:strCache>
                <c:ptCount val="1"/>
                <c:pt idx="0">
                  <c:v>個数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'基準点データグラフ（直線）'!$A$2:$A$47</c:f>
              <c:numCache>
                <c:formatCode>0.0</c:formatCode>
                <c:ptCount val="4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</c:v>
                </c:pt>
                <c:pt idx="16">
                  <c:v>3.2</c:v>
                </c:pt>
                <c:pt idx="17">
                  <c:v>3.4000000000000004</c:v>
                </c:pt>
                <c:pt idx="18">
                  <c:v>3.6</c:v>
                </c:pt>
                <c:pt idx="19">
                  <c:v>3.8000000000000003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4.6000000000000005</c:v>
                </c:pt>
                <c:pt idx="24">
                  <c:v>4.8000000000000007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5.6000000000000005</c:v>
                </c:pt>
                <c:pt idx="29">
                  <c:v>5.8000000000000007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6.6000000000000005</c:v>
                </c:pt>
                <c:pt idx="34">
                  <c:v>6.8000000000000007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7.6000000000000005</c:v>
                </c:pt>
                <c:pt idx="39">
                  <c:v>7.8000000000000007</c:v>
                </c:pt>
                <c:pt idx="40">
                  <c:v>8</c:v>
                </c:pt>
                <c:pt idx="41">
                  <c:v>8.2000000000000011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</c:numCache>
            </c:numRef>
          </c:xVal>
          <c:yVal>
            <c:numRef>
              <c:f>'基準点データグラフ（直線）'!$C$2:$C$47</c:f>
              <c:numCache>
                <c:formatCode>General</c:formatCode>
                <c:ptCount val="46"/>
                <c:pt idx="0">
                  <c:v>18</c:v>
                </c:pt>
                <c:pt idx="1">
                  <c:v>55</c:v>
                </c:pt>
                <c:pt idx="2">
                  <c:v>91</c:v>
                </c:pt>
                <c:pt idx="3">
                  <c:v>90</c:v>
                </c:pt>
                <c:pt idx="4">
                  <c:v>44</c:v>
                </c:pt>
                <c:pt idx="5">
                  <c:v>36</c:v>
                </c:pt>
                <c:pt idx="6">
                  <c:v>18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A7-4D56-9516-F83C2D89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51760"/>
        <c:axId val="68854528"/>
      </c:scatterChart>
      <c:valAx>
        <c:axId val="144251760"/>
        <c:scaling>
          <c:orientation val="minMax"/>
          <c:max val="9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点間の距離の区間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.0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8854528"/>
        <c:crosses val="autoZero"/>
        <c:crossBetween val="midCat"/>
        <c:majorUnit val="0.2"/>
      </c:valAx>
      <c:valAx>
        <c:axId val="68854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データ数</a:t>
                </a:r>
                <a:r>
                  <a:rPr lang="en-US" altLang="ja-JP" b="0"/>
                  <a:t>[</a:t>
                </a:r>
                <a:r>
                  <a:rPr lang="ja-JP" altLang="en-US" b="0"/>
                  <a:t>個</a:t>
                </a:r>
                <a:r>
                  <a:rPr lang="en-US" altLang="ja-JP" b="0"/>
                  <a:t>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251760"/>
        <c:crossesAt val="-0.1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A10km!$E$1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A10km!$A$2:$A$27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12.5</c:v>
                </c:pt>
                <c:pt idx="7">
                  <c:v>12.5</c:v>
                </c:pt>
                <c:pt idx="8">
                  <c:v>17.5</c:v>
                </c:pt>
                <c:pt idx="9">
                  <c:v>22.5</c:v>
                </c:pt>
                <c:pt idx="10">
                  <c:v>27.5</c:v>
                </c:pt>
                <c:pt idx="11">
                  <c:v>27.5</c:v>
                </c:pt>
                <c:pt idx="12">
                  <c:v>32.5</c:v>
                </c:pt>
                <c:pt idx="13">
                  <c:v>42.5</c:v>
                </c:pt>
                <c:pt idx="14">
                  <c:v>47.5</c:v>
                </c:pt>
                <c:pt idx="15">
                  <c:v>52.5</c:v>
                </c:pt>
                <c:pt idx="16">
                  <c:v>52.5</c:v>
                </c:pt>
                <c:pt idx="17">
                  <c:v>57.5</c:v>
                </c:pt>
                <c:pt idx="18">
                  <c:v>57.5</c:v>
                </c:pt>
                <c:pt idx="19">
                  <c:v>62.5</c:v>
                </c:pt>
                <c:pt idx="20">
                  <c:v>62.5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72.5</c:v>
                </c:pt>
                <c:pt idx="25">
                  <c:v>72.5</c:v>
                </c:pt>
              </c:numCache>
            </c:numRef>
          </c:xVal>
          <c:yVal>
            <c:numRef>
              <c:f>A10km!$E$2:$E$27</c:f>
              <c:numCache>
                <c:formatCode>0.0000</c:formatCode>
                <c:ptCount val="26"/>
                <c:pt idx="0">
                  <c:v>8.3339999999999996</c:v>
                </c:pt>
                <c:pt idx="1">
                  <c:v>8.5191999999999997</c:v>
                </c:pt>
                <c:pt idx="2">
                  <c:v>9.26</c:v>
                </c:pt>
                <c:pt idx="3">
                  <c:v>9.26</c:v>
                </c:pt>
                <c:pt idx="4">
                  <c:v>9.6304000000000016</c:v>
                </c:pt>
                <c:pt idx="5">
                  <c:v>8.3339999999999996</c:v>
                </c:pt>
                <c:pt idx="6">
                  <c:v>8.3339999999999996</c:v>
                </c:pt>
                <c:pt idx="7">
                  <c:v>8.5191999999999997</c:v>
                </c:pt>
                <c:pt idx="8">
                  <c:v>9.26</c:v>
                </c:pt>
                <c:pt idx="9">
                  <c:v>9.6304000000000016</c:v>
                </c:pt>
                <c:pt idx="10">
                  <c:v>9.8155999999999999</c:v>
                </c:pt>
                <c:pt idx="11">
                  <c:v>10.5564</c:v>
                </c:pt>
                <c:pt idx="12">
                  <c:v>10.7416</c:v>
                </c:pt>
                <c:pt idx="13">
                  <c:v>11.6676</c:v>
                </c:pt>
                <c:pt idx="14">
                  <c:v>11.6676</c:v>
                </c:pt>
                <c:pt idx="15">
                  <c:v>11.6676</c:v>
                </c:pt>
                <c:pt idx="16">
                  <c:v>11.6676</c:v>
                </c:pt>
                <c:pt idx="17">
                  <c:v>11.6676</c:v>
                </c:pt>
                <c:pt idx="18">
                  <c:v>11.4824</c:v>
                </c:pt>
                <c:pt idx="19">
                  <c:v>11.4824</c:v>
                </c:pt>
                <c:pt idx="20">
                  <c:v>11.2972</c:v>
                </c:pt>
                <c:pt idx="21">
                  <c:v>11.2972</c:v>
                </c:pt>
                <c:pt idx="22">
                  <c:v>11.2972</c:v>
                </c:pt>
                <c:pt idx="23">
                  <c:v>11.112</c:v>
                </c:pt>
                <c:pt idx="24">
                  <c:v>11.112</c:v>
                </c:pt>
                <c:pt idx="25">
                  <c:v>11.112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9-46C0-A54C-BDA5CC5AD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19120"/>
        <c:axId val="68856608"/>
      </c:scatterChart>
      <c:valAx>
        <c:axId val="6791912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8856608"/>
        <c:crosses val="autoZero"/>
        <c:crossBetween val="midCat"/>
        <c:majorUnit val="5"/>
      </c:valAx>
      <c:valAx>
        <c:axId val="688566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912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A10km!$Q$1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A10km!$A$2:$A$27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12.5</c:v>
                </c:pt>
                <c:pt idx="7">
                  <c:v>12.5</c:v>
                </c:pt>
                <c:pt idx="8">
                  <c:v>17.5</c:v>
                </c:pt>
                <c:pt idx="9">
                  <c:v>22.5</c:v>
                </c:pt>
                <c:pt idx="10">
                  <c:v>27.5</c:v>
                </c:pt>
                <c:pt idx="11">
                  <c:v>27.5</c:v>
                </c:pt>
                <c:pt idx="12">
                  <c:v>32.5</c:v>
                </c:pt>
                <c:pt idx="13">
                  <c:v>42.5</c:v>
                </c:pt>
                <c:pt idx="14">
                  <c:v>47.5</c:v>
                </c:pt>
                <c:pt idx="15">
                  <c:v>52.5</c:v>
                </c:pt>
                <c:pt idx="16">
                  <c:v>52.5</c:v>
                </c:pt>
                <c:pt idx="17">
                  <c:v>57.5</c:v>
                </c:pt>
                <c:pt idx="18">
                  <c:v>57.5</c:v>
                </c:pt>
                <c:pt idx="19">
                  <c:v>62.5</c:v>
                </c:pt>
                <c:pt idx="20">
                  <c:v>62.5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72.5</c:v>
                </c:pt>
                <c:pt idx="25">
                  <c:v>72.5</c:v>
                </c:pt>
              </c:numCache>
            </c:numRef>
          </c:xVal>
          <c:yVal>
            <c:numRef>
              <c:f>A10km!$Q$2:$Q$27</c:f>
              <c:numCache>
                <c:formatCode>0.000000</c:formatCode>
                <c:ptCount val="26"/>
                <c:pt idx="0">
                  <c:v>56.440816689022711</c:v>
                </c:pt>
                <c:pt idx="1">
                  <c:v>51.767432696685759</c:v>
                </c:pt>
                <c:pt idx="2">
                  <c:v>49.418732283188795</c:v>
                </c:pt>
                <c:pt idx="3">
                  <c:v>49.418732283188795</c:v>
                </c:pt>
                <c:pt idx="4">
                  <c:v>47.041103244580661</c:v>
                </c:pt>
                <c:pt idx="5">
                  <c:v>44.72232165369028</c:v>
                </c:pt>
                <c:pt idx="6">
                  <c:v>44.72232165369028</c:v>
                </c:pt>
                <c:pt idx="7">
                  <c:v>42.34188065745262</c:v>
                </c:pt>
                <c:pt idx="8">
                  <c:v>37.679908142531694</c:v>
                </c:pt>
                <c:pt idx="9">
                  <c:v>35.294378365214293</c:v>
                </c:pt>
                <c:pt idx="10">
                  <c:v>30.642346914636899</c:v>
                </c:pt>
                <c:pt idx="11">
                  <c:v>28.249600953647974</c:v>
                </c:pt>
                <c:pt idx="12">
                  <c:v>23.555761257689049</c:v>
                </c:pt>
                <c:pt idx="13">
                  <c:v>9.5203081250669808</c:v>
                </c:pt>
                <c:pt idx="14">
                  <c:v>7.2081430162853817</c:v>
                </c:pt>
                <c:pt idx="15">
                  <c:v>4.9311871343198854</c:v>
                </c:pt>
                <c:pt idx="16">
                  <c:v>1.4845979931357927</c:v>
                </c:pt>
                <c:pt idx="17">
                  <c:v>1.4845979931357927</c:v>
                </c:pt>
                <c:pt idx="18">
                  <c:v>2.7806788811011907</c:v>
                </c:pt>
                <c:pt idx="19">
                  <c:v>5.2021738381375418</c:v>
                </c:pt>
                <c:pt idx="20">
                  <c:v>9.6634503616773682</c:v>
                </c:pt>
                <c:pt idx="21">
                  <c:v>9.6634503616773682</c:v>
                </c:pt>
                <c:pt idx="22">
                  <c:v>11.847847716231417</c:v>
                </c:pt>
                <c:pt idx="23">
                  <c:v>14.183194700909587</c:v>
                </c:pt>
                <c:pt idx="24">
                  <c:v>14.183194700909587</c:v>
                </c:pt>
                <c:pt idx="25">
                  <c:v>18.865707189440347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2-4D15-92D9-6F4C022B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46256"/>
        <c:axId val="68855360"/>
      </c:scatterChart>
      <c:valAx>
        <c:axId val="14614625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8855360"/>
        <c:crosses val="autoZero"/>
        <c:crossBetween val="midCat"/>
        <c:majorUnit val="5"/>
      </c:valAx>
      <c:valAx>
        <c:axId val="6885536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614625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A10km!$A$2:$A$27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12.5</c:v>
                </c:pt>
                <c:pt idx="7">
                  <c:v>12.5</c:v>
                </c:pt>
                <c:pt idx="8">
                  <c:v>17.5</c:v>
                </c:pt>
                <c:pt idx="9">
                  <c:v>22.5</c:v>
                </c:pt>
                <c:pt idx="10">
                  <c:v>27.5</c:v>
                </c:pt>
                <c:pt idx="11">
                  <c:v>27.5</c:v>
                </c:pt>
                <c:pt idx="12">
                  <c:v>32.5</c:v>
                </c:pt>
                <c:pt idx="13">
                  <c:v>42.5</c:v>
                </c:pt>
                <c:pt idx="14">
                  <c:v>47.5</c:v>
                </c:pt>
                <c:pt idx="15">
                  <c:v>52.5</c:v>
                </c:pt>
                <c:pt idx="16">
                  <c:v>52.5</c:v>
                </c:pt>
                <c:pt idx="17">
                  <c:v>57.5</c:v>
                </c:pt>
                <c:pt idx="18">
                  <c:v>57.5</c:v>
                </c:pt>
                <c:pt idx="19">
                  <c:v>62.5</c:v>
                </c:pt>
                <c:pt idx="20">
                  <c:v>62.5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72.5</c:v>
                </c:pt>
                <c:pt idx="25">
                  <c:v>72.5</c:v>
                </c:pt>
              </c:numCache>
            </c:numRef>
          </c:xVal>
          <c:yVal>
            <c:numRef>
              <c:f>A10km!$G$2:$G$27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-67</c:v>
                </c:pt>
                <c:pt idx="2">
                  <c:v>-64</c:v>
                </c:pt>
                <c:pt idx="3">
                  <c:v>-64</c:v>
                </c:pt>
                <c:pt idx="4">
                  <c:v>-64</c:v>
                </c:pt>
                <c:pt idx="5">
                  <c:v>-62</c:v>
                </c:pt>
                <c:pt idx="6">
                  <c:v>-62</c:v>
                </c:pt>
                <c:pt idx="7">
                  <c:v>-61</c:v>
                </c:pt>
                <c:pt idx="8">
                  <c:v>-59</c:v>
                </c:pt>
                <c:pt idx="9">
                  <c:v>-59</c:v>
                </c:pt>
                <c:pt idx="10">
                  <c:v>-59</c:v>
                </c:pt>
                <c:pt idx="11">
                  <c:v>-58</c:v>
                </c:pt>
                <c:pt idx="12">
                  <c:v>-53</c:v>
                </c:pt>
                <c:pt idx="13">
                  <c:v>-52</c:v>
                </c:pt>
                <c:pt idx="14">
                  <c:v>-44</c:v>
                </c:pt>
                <c:pt idx="15">
                  <c:v>-36</c:v>
                </c:pt>
                <c:pt idx="16">
                  <c:v>-50</c:v>
                </c:pt>
                <c:pt idx="17">
                  <c:v>-50</c:v>
                </c:pt>
                <c:pt idx="18">
                  <c:v>-62</c:v>
                </c:pt>
                <c:pt idx="19">
                  <c:v>-72</c:v>
                </c:pt>
                <c:pt idx="20">
                  <c:v>-87</c:v>
                </c:pt>
                <c:pt idx="21">
                  <c:v>-87</c:v>
                </c:pt>
                <c:pt idx="22">
                  <c:v>-82</c:v>
                </c:pt>
                <c:pt idx="23">
                  <c:v>-86</c:v>
                </c:pt>
                <c:pt idx="24">
                  <c:v>-86</c:v>
                </c:pt>
                <c:pt idx="2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99-4C98-988D-2EEFE33A4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75344"/>
        <c:axId val="67917152"/>
      </c:scatterChart>
      <c:valAx>
        <c:axId val="6647534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7152"/>
        <c:crossesAt val="-100"/>
        <c:crossBetween val="midCat"/>
        <c:majorUnit val="5"/>
      </c:valAx>
      <c:valAx>
        <c:axId val="6791715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47534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A10km!$E$2:$E$27</c:f>
              <c:numCache>
                <c:formatCode>0.0000</c:formatCode>
                <c:ptCount val="26"/>
                <c:pt idx="0">
                  <c:v>8.3339999999999996</c:v>
                </c:pt>
                <c:pt idx="1">
                  <c:v>8.5191999999999997</c:v>
                </c:pt>
                <c:pt idx="2">
                  <c:v>9.26</c:v>
                </c:pt>
                <c:pt idx="3">
                  <c:v>9.26</c:v>
                </c:pt>
                <c:pt idx="4">
                  <c:v>9.6304000000000016</c:v>
                </c:pt>
                <c:pt idx="5">
                  <c:v>8.3339999999999996</c:v>
                </c:pt>
                <c:pt idx="6">
                  <c:v>8.3339999999999996</c:v>
                </c:pt>
                <c:pt idx="7">
                  <c:v>8.5191999999999997</c:v>
                </c:pt>
                <c:pt idx="8">
                  <c:v>9.26</c:v>
                </c:pt>
                <c:pt idx="9">
                  <c:v>9.6304000000000016</c:v>
                </c:pt>
                <c:pt idx="10">
                  <c:v>9.8155999999999999</c:v>
                </c:pt>
                <c:pt idx="11">
                  <c:v>10.5564</c:v>
                </c:pt>
                <c:pt idx="12">
                  <c:v>10.7416</c:v>
                </c:pt>
                <c:pt idx="13">
                  <c:v>11.6676</c:v>
                </c:pt>
                <c:pt idx="14">
                  <c:v>11.6676</c:v>
                </c:pt>
                <c:pt idx="15">
                  <c:v>11.6676</c:v>
                </c:pt>
                <c:pt idx="16">
                  <c:v>11.6676</c:v>
                </c:pt>
                <c:pt idx="17">
                  <c:v>11.6676</c:v>
                </c:pt>
                <c:pt idx="18">
                  <c:v>11.4824</c:v>
                </c:pt>
                <c:pt idx="19">
                  <c:v>11.4824</c:v>
                </c:pt>
                <c:pt idx="20">
                  <c:v>11.2972</c:v>
                </c:pt>
                <c:pt idx="21">
                  <c:v>11.2972</c:v>
                </c:pt>
                <c:pt idx="22">
                  <c:v>11.2972</c:v>
                </c:pt>
                <c:pt idx="23">
                  <c:v>11.112</c:v>
                </c:pt>
                <c:pt idx="24">
                  <c:v>11.112</c:v>
                </c:pt>
                <c:pt idx="25">
                  <c:v>11.112</c:v>
                </c:pt>
              </c:numCache>
            </c:numRef>
          </c:xVal>
          <c:yVal>
            <c:numRef>
              <c:f>A10km!$G$2:$G$27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-67</c:v>
                </c:pt>
                <c:pt idx="2">
                  <c:v>-64</c:v>
                </c:pt>
                <c:pt idx="3">
                  <c:v>-64</c:v>
                </c:pt>
                <c:pt idx="4">
                  <c:v>-64</c:v>
                </c:pt>
                <c:pt idx="5">
                  <c:v>-62</c:v>
                </c:pt>
                <c:pt idx="6">
                  <c:v>-62</c:v>
                </c:pt>
                <c:pt idx="7">
                  <c:v>-61</c:v>
                </c:pt>
                <c:pt idx="8">
                  <c:v>-59</c:v>
                </c:pt>
                <c:pt idx="9">
                  <c:v>-59</c:v>
                </c:pt>
                <c:pt idx="10">
                  <c:v>-59</c:v>
                </c:pt>
                <c:pt idx="11">
                  <c:v>-58</c:v>
                </c:pt>
                <c:pt idx="12">
                  <c:v>-53</c:v>
                </c:pt>
                <c:pt idx="13">
                  <c:v>-52</c:v>
                </c:pt>
                <c:pt idx="14">
                  <c:v>-44</c:v>
                </c:pt>
                <c:pt idx="15">
                  <c:v>-36</c:v>
                </c:pt>
                <c:pt idx="16">
                  <c:v>-50</c:v>
                </c:pt>
                <c:pt idx="17">
                  <c:v>-50</c:v>
                </c:pt>
                <c:pt idx="18">
                  <c:v>-62</c:v>
                </c:pt>
                <c:pt idx="19">
                  <c:v>-72</c:v>
                </c:pt>
                <c:pt idx="20">
                  <c:v>-87</c:v>
                </c:pt>
                <c:pt idx="21">
                  <c:v>-87</c:v>
                </c:pt>
                <c:pt idx="22">
                  <c:v>-82</c:v>
                </c:pt>
                <c:pt idx="23">
                  <c:v>-86</c:v>
                </c:pt>
                <c:pt idx="24">
                  <c:v>-86</c:v>
                </c:pt>
                <c:pt idx="2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A07-8D88-7C55774A6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707168"/>
        <c:axId val="67917568"/>
      </c:scatterChart>
      <c:valAx>
        <c:axId val="147707168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7568"/>
        <c:crossesAt val="-100"/>
        <c:crossBetween val="midCat"/>
        <c:majorUnit val="5"/>
      </c:valAx>
      <c:valAx>
        <c:axId val="6791756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770716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A10km!$Q$2:$Q$27</c:f>
              <c:numCache>
                <c:formatCode>0.000000</c:formatCode>
                <c:ptCount val="26"/>
                <c:pt idx="0">
                  <c:v>56.440816689022711</c:v>
                </c:pt>
                <c:pt idx="1">
                  <c:v>51.767432696685759</c:v>
                </c:pt>
                <c:pt idx="2">
                  <c:v>49.418732283188795</c:v>
                </c:pt>
                <c:pt idx="3">
                  <c:v>49.418732283188795</c:v>
                </c:pt>
                <c:pt idx="4">
                  <c:v>47.041103244580661</c:v>
                </c:pt>
                <c:pt idx="5">
                  <c:v>44.72232165369028</c:v>
                </c:pt>
                <c:pt idx="6">
                  <c:v>44.72232165369028</c:v>
                </c:pt>
                <c:pt idx="7">
                  <c:v>42.34188065745262</c:v>
                </c:pt>
                <c:pt idx="8">
                  <c:v>37.679908142531694</c:v>
                </c:pt>
                <c:pt idx="9">
                  <c:v>35.294378365214293</c:v>
                </c:pt>
                <c:pt idx="10">
                  <c:v>30.642346914636899</c:v>
                </c:pt>
                <c:pt idx="11">
                  <c:v>28.249600953647974</c:v>
                </c:pt>
                <c:pt idx="12">
                  <c:v>23.555761257689049</c:v>
                </c:pt>
                <c:pt idx="13">
                  <c:v>9.5203081250669808</c:v>
                </c:pt>
                <c:pt idx="14">
                  <c:v>7.2081430162853817</c:v>
                </c:pt>
                <c:pt idx="15">
                  <c:v>4.9311871343198854</c:v>
                </c:pt>
                <c:pt idx="16">
                  <c:v>1.4845979931357927</c:v>
                </c:pt>
                <c:pt idx="17">
                  <c:v>1.4845979931357927</c:v>
                </c:pt>
                <c:pt idx="18">
                  <c:v>2.7806788811011907</c:v>
                </c:pt>
                <c:pt idx="19">
                  <c:v>5.2021738381375418</c:v>
                </c:pt>
                <c:pt idx="20">
                  <c:v>9.6634503616773682</c:v>
                </c:pt>
                <c:pt idx="21">
                  <c:v>9.6634503616773682</c:v>
                </c:pt>
                <c:pt idx="22">
                  <c:v>11.847847716231417</c:v>
                </c:pt>
                <c:pt idx="23">
                  <c:v>14.183194700909587</c:v>
                </c:pt>
                <c:pt idx="24">
                  <c:v>14.183194700909587</c:v>
                </c:pt>
                <c:pt idx="25">
                  <c:v>18.865707189440347</c:v>
                </c:pt>
              </c:numCache>
            </c:numRef>
          </c:xVal>
          <c:yVal>
            <c:numRef>
              <c:f>A10km!$G$2:$G$27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-67</c:v>
                </c:pt>
                <c:pt idx="2">
                  <c:v>-64</c:v>
                </c:pt>
                <c:pt idx="3">
                  <c:v>-64</c:v>
                </c:pt>
                <c:pt idx="4">
                  <c:v>-64</c:v>
                </c:pt>
                <c:pt idx="5">
                  <c:v>-62</c:v>
                </c:pt>
                <c:pt idx="6">
                  <c:v>-62</c:v>
                </c:pt>
                <c:pt idx="7">
                  <c:v>-61</c:v>
                </c:pt>
                <c:pt idx="8">
                  <c:v>-59</c:v>
                </c:pt>
                <c:pt idx="9">
                  <c:v>-59</c:v>
                </c:pt>
                <c:pt idx="10">
                  <c:v>-59</c:v>
                </c:pt>
                <c:pt idx="11">
                  <c:v>-58</c:v>
                </c:pt>
                <c:pt idx="12">
                  <c:v>-53</c:v>
                </c:pt>
                <c:pt idx="13">
                  <c:v>-52</c:v>
                </c:pt>
                <c:pt idx="14">
                  <c:v>-44</c:v>
                </c:pt>
                <c:pt idx="15">
                  <c:v>-36</c:v>
                </c:pt>
                <c:pt idx="16">
                  <c:v>-50</c:v>
                </c:pt>
                <c:pt idx="17">
                  <c:v>-50</c:v>
                </c:pt>
                <c:pt idx="18">
                  <c:v>-62</c:v>
                </c:pt>
                <c:pt idx="19">
                  <c:v>-72</c:v>
                </c:pt>
                <c:pt idx="20">
                  <c:v>-87</c:v>
                </c:pt>
                <c:pt idx="21">
                  <c:v>-87</c:v>
                </c:pt>
                <c:pt idx="22">
                  <c:v>-82</c:v>
                </c:pt>
                <c:pt idx="23">
                  <c:v>-86</c:v>
                </c:pt>
                <c:pt idx="24">
                  <c:v>-86</c:v>
                </c:pt>
                <c:pt idx="2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F2-4582-A10F-551CE9387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342592"/>
        <c:axId val="67912576"/>
      </c:scatterChart>
      <c:valAx>
        <c:axId val="14913425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2576"/>
        <c:crossesAt val="-100"/>
        <c:crossBetween val="midCat"/>
        <c:majorUnit val="5"/>
      </c:valAx>
      <c:valAx>
        <c:axId val="6791257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34259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B20km!$E$1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B20km!$A$2:$A$27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47.5</c:v>
                </c:pt>
                <c:pt idx="10">
                  <c:v>52.5</c:v>
                </c:pt>
                <c:pt idx="11">
                  <c:v>57.5</c:v>
                </c:pt>
                <c:pt idx="12">
                  <c:v>62.5</c:v>
                </c:pt>
                <c:pt idx="13">
                  <c:v>67.5</c:v>
                </c:pt>
                <c:pt idx="14">
                  <c:v>72.5</c:v>
                </c:pt>
                <c:pt idx="15">
                  <c:v>77.5</c:v>
                </c:pt>
                <c:pt idx="16">
                  <c:v>2.5</c:v>
                </c:pt>
                <c:pt idx="17">
                  <c:v>7.5</c:v>
                </c:pt>
                <c:pt idx="18">
                  <c:v>7.5</c:v>
                </c:pt>
                <c:pt idx="19">
                  <c:v>27.5</c:v>
                </c:pt>
                <c:pt idx="20">
                  <c:v>27.5</c:v>
                </c:pt>
                <c:pt idx="21">
                  <c:v>32.5</c:v>
                </c:pt>
                <c:pt idx="22">
                  <c:v>42.5</c:v>
                </c:pt>
                <c:pt idx="23">
                  <c:v>47.5</c:v>
                </c:pt>
                <c:pt idx="24">
                  <c:v>57.5</c:v>
                </c:pt>
                <c:pt idx="25">
                  <c:v>62.5</c:v>
                </c:pt>
              </c:numCache>
            </c:numRef>
          </c:xVal>
          <c:yVal>
            <c:numRef>
              <c:f>B20km!$E$2:$E$27</c:f>
              <c:numCache>
                <c:formatCode>0.0000</c:formatCode>
                <c:ptCount val="26"/>
                <c:pt idx="0">
                  <c:v>11.4824</c:v>
                </c:pt>
                <c:pt idx="1">
                  <c:v>15.927200000000001</c:v>
                </c:pt>
                <c:pt idx="2">
                  <c:v>21.1128</c:v>
                </c:pt>
                <c:pt idx="3">
                  <c:v>21.1128</c:v>
                </c:pt>
                <c:pt idx="4">
                  <c:v>21.1128</c:v>
                </c:pt>
                <c:pt idx="5">
                  <c:v>20.7424</c:v>
                </c:pt>
                <c:pt idx="6">
                  <c:v>20.7424</c:v>
                </c:pt>
                <c:pt idx="7">
                  <c:v>19.6312</c:v>
                </c:pt>
                <c:pt idx="8">
                  <c:v>20.557200000000002</c:v>
                </c:pt>
                <c:pt idx="9">
                  <c:v>20.557200000000002</c:v>
                </c:pt>
                <c:pt idx="10">
                  <c:v>20.557200000000002</c:v>
                </c:pt>
                <c:pt idx="11">
                  <c:v>20.557200000000002</c:v>
                </c:pt>
                <c:pt idx="12">
                  <c:v>20.7424</c:v>
                </c:pt>
                <c:pt idx="13">
                  <c:v>20.7424</c:v>
                </c:pt>
                <c:pt idx="14">
                  <c:v>21.1128</c:v>
                </c:pt>
                <c:pt idx="15">
                  <c:v>24.816800000000001</c:v>
                </c:pt>
                <c:pt idx="16">
                  <c:v>13.704800000000001</c:v>
                </c:pt>
                <c:pt idx="17">
                  <c:v>15.371600000000003</c:v>
                </c:pt>
                <c:pt idx="18">
                  <c:v>16.667999999999999</c:v>
                </c:pt>
                <c:pt idx="19">
                  <c:v>19.446000000000002</c:v>
                </c:pt>
                <c:pt idx="20">
                  <c:v>21.4832</c:v>
                </c:pt>
                <c:pt idx="21">
                  <c:v>21.4832</c:v>
                </c:pt>
                <c:pt idx="22">
                  <c:v>22.224</c:v>
                </c:pt>
                <c:pt idx="23">
                  <c:v>21.4832</c:v>
                </c:pt>
                <c:pt idx="24">
                  <c:v>21.4832</c:v>
                </c:pt>
                <c:pt idx="25">
                  <c:v>21.4832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7-4E58-9770-3FB979B9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54864"/>
        <c:axId val="1997954768"/>
      </c:scatterChart>
      <c:valAx>
        <c:axId val="1512548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954768"/>
        <c:crosses val="autoZero"/>
        <c:crossBetween val="midCat"/>
        <c:majorUnit val="5"/>
      </c:valAx>
      <c:valAx>
        <c:axId val="19979547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12548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B20km!$Q$1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B20km!$A$2:$A$27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47.5</c:v>
                </c:pt>
                <c:pt idx="10">
                  <c:v>52.5</c:v>
                </c:pt>
                <c:pt idx="11">
                  <c:v>57.5</c:v>
                </c:pt>
                <c:pt idx="12">
                  <c:v>62.5</c:v>
                </c:pt>
                <c:pt idx="13">
                  <c:v>67.5</c:v>
                </c:pt>
                <c:pt idx="14">
                  <c:v>72.5</c:v>
                </c:pt>
                <c:pt idx="15">
                  <c:v>77.5</c:v>
                </c:pt>
                <c:pt idx="16">
                  <c:v>2.5</c:v>
                </c:pt>
                <c:pt idx="17">
                  <c:v>7.5</c:v>
                </c:pt>
                <c:pt idx="18">
                  <c:v>7.5</c:v>
                </c:pt>
                <c:pt idx="19">
                  <c:v>27.5</c:v>
                </c:pt>
                <c:pt idx="20">
                  <c:v>27.5</c:v>
                </c:pt>
                <c:pt idx="21">
                  <c:v>32.5</c:v>
                </c:pt>
                <c:pt idx="22">
                  <c:v>42.5</c:v>
                </c:pt>
                <c:pt idx="23">
                  <c:v>47.5</c:v>
                </c:pt>
                <c:pt idx="24">
                  <c:v>57.5</c:v>
                </c:pt>
                <c:pt idx="25">
                  <c:v>62.5</c:v>
                </c:pt>
              </c:numCache>
            </c:numRef>
          </c:xVal>
          <c:yVal>
            <c:numRef>
              <c:f>B20km!$Q$2:$Q$27</c:f>
              <c:numCache>
                <c:formatCode>0.000000</c:formatCode>
                <c:ptCount val="26"/>
                <c:pt idx="0">
                  <c:v>49.390941419752743</c:v>
                </c:pt>
                <c:pt idx="1">
                  <c:v>47.070281500217007</c:v>
                </c:pt>
                <c:pt idx="2">
                  <c:v>35.388052654569897</c:v>
                </c:pt>
                <c:pt idx="3">
                  <c:v>35.388052654569897</c:v>
                </c:pt>
                <c:pt idx="4">
                  <c:v>28.366389401819173</c:v>
                </c:pt>
                <c:pt idx="5">
                  <c:v>23.695695433879063</c:v>
                </c:pt>
                <c:pt idx="6">
                  <c:v>23.695695433879063</c:v>
                </c:pt>
                <c:pt idx="7">
                  <c:v>16.721929002881904</c:v>
                </c:pt>
                <c:pt idx="8">
                  <c:v>12.123678860226084</c:v>
                </c:pt>
                <c:pt idx="9">
                  <c:v>5.5605455891810838</c:v>
                </c:pt>
                <c:pt idx="10">
                  <c:v>2.969195987687816</c:v>
                </c:pt>
                <c:pt idx="11">
                  <c:v>2.969195987687816</c:v>
                </c:pt>
                <c:pt idx="12">
                  <c:v>7.6524758382776392</c:v>
                </c:pt>
                <c:pt idx="13">
                  <c:v>12.123678860226084</c:v>
                </c:pt>
                <c:pt idx="14">
                  <c:v>0</c:v>
                </c:pt>
                <c:pt idx="15">
                  <c:v>32.048066103116852</c:v>
                </c:pt>
                <c:pt idx="16">
                  <c:v>49.390941419752743</c:v>
                </c:pt>
                <c:pt idx="17">
                  <c:v>47.041103244580661</c:v>
                </c:pt>
                <c:pt idx="18">
                  <c:v>42.342093989979567</c:v>
                </c:pt>
                <c:pt idx="19">
                  <c:v>30.597506734143469</c:v>
                </c:pt>
                <c:pt idx="20">
                  <c:v>23.555761257689049</c:v>
                </c:pt>
                <c:pt idx="21">
                  <c:v>23.555761257689049</c:v>
                </c:pt>
                <c:pt idx="22">
                  <c:v>9.5203081250669808</c:v>
                </c:pt>
                <c:pt idx="23">
                  <c:v>4.9311871343198854</c:v>
                </c:pt>
                <c:pt idx="24">
                  <c:v>7.2081430162853817</c:v>
                </c:pt>
                <c:pt idx="25">
                  <c:v>7.2081430162853817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61-4559-A23B-D43184055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38880"/>
        <c:axId val="1997867984"/>
      </c:scatterChart>
      <c:valAx>
        <c:axId val="15003888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867984"/>
        <c:crosses val="autoZero"/>
        <c:crossBetween val="midCat"/>
        <c:majorUnit val="5"/>
      </c:valAx>
      <c:valAx>
        <c:axId val="199786798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038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B20km!$A$2:$A$27</c:f>
              <c:numCache>
                <c:formatCode>General</c:formatCode>
                <c:ptCount val="2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47.5</c:v>
                </c:pt>
                <c:pt idx="10">
                  <c:v>52.5</c:v>
                </c:pt>
                <c:pt idx="11">
                  <c:v>57.5</c:v>
                </c:pt>
                <c:pt idx="12">
                  <c:v>62.5</c:v>
                </c:pt>
                <c:pt idx="13">
                  <c:v>67.5</c:v>
                </c:pt>
                <c:pt idx="14">
                  <c:v>72.5</c:v>
                </c:pt>
                <c:pt idx="15">
                  <c:v>77.5</c:v>
                </c:pt>
                <c:pt idx="16">
                  <c:v>2.5</c:v>
                </c:pt>
                <c:pt idx="17">
                  <c:v>7.5</c:v>
                </c:pt>
                <c:pt idx="18">
                  <c:v>7.5</c:v>
                </c:pt>
                <c:pt idx="19">
                  <c:v>27.5</c:v>
                </c:pt>
                <c:pt idx="20">
                  <c:v>27.5</c:v>
                </c:pt>
                <c:pt idx="21">
                  <c:v>32.5</c:v>
                </c:pt>
                <c:pt idx="22">
                  <c:v>42.5</c:v>
                </c:pt>
                <c:pt idx="23">
                  <c:v>47.5</c:v>
                </c:pt>
                <c:pt idx="24">
                  <c:v>57.5</c:v>
                </c:pt>
                <c:pt idx="25">
                  <c:v>62.5</c:v>
                </c:pt>
              </c:numCache>
            </c:numRef>
          </c:xVal>
          <c:yVal>
            <c:numRef>
              <c:f>B20km!$G$2:$G$27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-64</c:v>
                </c:pt>
                <c:pt idx="2">
                  <c:v>-58</c:v>
                </c:pt>
                <c:pt idx="3">
                  <c:v>-58</c:v>
                </c:pt>
                <c:pt idx="4">
                  <c:v>-59</c:v>
                </c:pt>
                <c:pt idx="5">
                  <c:v>-61</c:v>
                </c:pt>
                <c:pt idx="6">
                  <c:v>-61</c:v>
                </c:pt>
                <c:pt idx="7">
                  <c:v>-53</c:v>
                </c:pt>
                <c:pt idx="8">
                  <c:v>-61</c:v>
                </c:pt>
                <c:pt idx="9">
                  <c:v>-36</c:v>
                </c:pt>
                <c:pt idx="10">
                  <c:v>-66</c:v>
                </c:pt>
                <c:pt idx="11">
                  <c:v>-66</c:v>
                </c:pt>
                <c:pt idx="12">
                  <c:v>-83</c:v>
                </c:pt>
                <c:pt idx="13">
                  <c:v>-85</c:v>
                </c:pt>
                <c:pt idx="15">
                  <c:v>-57</c:v>
                </c:pt>
                <c:pt idx="16">
                  <c:v>-67</c:v>
                </c:pt>
                <c:pt idx="17">
                  <c:v>-65</c:v>
                </c:pt>
                <c:pt idx="18">
                  <c:v>-62</c:v>
                </c:pt>
                <c:pt idx="19">
                  <c:v>-57</c:v>
                </c:pt>
                <c:pt idx="20">
                  <c:v>-59</c:v>
                </c:pt>
                <c:pt idx="21">
                  <c:v>-59</c:v>
                </c:pt>
                <c:pt idx="22">
                  <c:v>-45</c:v>
                </c:pt>
                <c:pt idx="23">
                  <c:v>-48</c:v>
                </c:pt>
                <c:pt idx="24">
                  <c:v>-81</c:v>
                </c:pt>
                <c:pt idx="25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0-42C1-9A2E-201FA8B32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38880"/>
        <c:axId val="1994192400"/>
      </c:scatterChart>
      <c:valAx>
        <c:axId val="15003888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192400"/>
        <c:crossesAt val="-100"/>
        <c:crossBetween val="midCat"/>
        <c:majorUnit val="5"/>
      </c:valAx>
      <c:valAx>
        <c:axId val="199419240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038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B20km!$E$2:$E$27</c:f>
              <c:numCache>
                <c:formatCode>0.0000</c:formatCode>
                <c:ptCount val="26"/>
                <c:pt idx="0">
                  <c:v>11.4824</c:v>
                </c:pt>
                <c:pt idx="1">
                  <c:v>15.927200000000001</c:v>
                </c:pt>
                <c:pt idx="2">
                  <c:v>21.1128</c:v>
                </c:pt>
                <c:pt idx="3">
                  <c:v>21.1128</c:v>
                </c:pt>
                <c:pt idx="4">
                  <c:v>21.1128</c:v>
                </c:pt>
                <c:pt idx="5">
                  <c:v>20.7424</c:v>
                </c:pt>
                <c:pt idx="6">
                  <c:v>20.7424</c:v>
                </c:pt>
                <c:pt idx="7">
                  <c:v>19.6312</c:v>
                </c:pt>
                <c:pt idx="8">
                  <c:v>20.557200000000002</c:v>
                </c:pt>
                <c:pt idx="9">
                  <c:v>20.557200000000002</c:v>
                </c:pt>
                <c:pt idx="10">
                  <c:v>20.557200000000002</c:v>
                </c:pt>
                <c:pt idx="11">
                  <c:v>20.557200000000002</c:v>
                </c:pt>
                <c:pt idx="12">
                  <c:v>20.7424</c:v>
                </c:pt>
                <c:pt idx="13">
                  <c:v>20.7424</c:v>
                </c:pt>
                <c:pt idx="14">
                  <c:v>21.1128</c:v>
                </c:pt>
                <c:pt idx="15">
                  <c:v>24.816800000000001</c:v>
                </c:pt>
                <c:pt idx="16">
                  <c:v>13.704800000000001</c:v>
                </c:pt>
                <c:pt idx="17">
                  <c:v>15.371600000000003</c:v>
                </c:pt>
                <c:pt idx="18">
                  <c:v>16.667999999999999</c:v>
                </c:pt>
                <c:pt idx="19">
                  <c:v>19.446000000000002</c:v>
                </c:pt>
                <c:pt idx="20">
                  <c:v>21.4832</c:v>
                </c:pt>
                <c:pt idx="21">
                  <c:v>21.4832</c:v>
                </c:pt>
                <c:pt idx="22">
                  <c:v>22.224</c:v>
                </c:pt>
                <c:pt idx="23">
                  <c:v>21.4832</c:v>
                </c:pt>
                <c:pt idx="24">
                  <c:v>21.4832</c:v>
                </c:pt>
                <c:pt idx="25">
                  <c:v>21.4832</c:v>
                </c:pt>
              </c:numCache>
            </c:numRef>
          </c:xVal>
          <c:yVal>
            <c:numRef>
              <c:f>B20km!$G$2:$G$27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-64</c:v>
                </c:pt>
                <c:pt idx="2">
                  <c:v>-58</c:v>
                </c:pt>
                <c:pt idx="3">
                  <c:v>-58</c:v>
                </c:pt>
                <c:pt idx="4">
                  <c:v>-59</c:v>
                </c:pt>
                <c:pt idx="5">
                  <c:v>-61</c:v>
                </c:pt>
                <c:pt idx="6">
                  <c:v>-61</c:v>
                </c:pt>
                <c:pt idx="7">
                  <c:v>-53</c:v>
                </c:pt>
                <c:pt idx="8">
                  <c:v>-61</c:v>
                </c:pt>
                <c:pt idx="9">
                  <c:v>-36</c:v>
                </c:pt>
                <c:pt idx="10">
                  <c:v>-66</c:v>
                </c:pt>
                <c:pt idx="11">
                  <c:v>-66</c:v>
                </c:pt>
                <c:pt idx="12">
                  <c:v>-83</c:v>
                </c:pt>
                <c:pt idx="13">
                  <c:v>-85</c:v>
                </c:pt>
                <c:pt idx="15">
                  <c:v>-57</c:v>
                </c:pt>
                <c:pt idx="16">
                  <c:v>-67</c:v>
                </c:pt>
                <c:pt idx="17">
                  <c:v>-65</c:v>
                </c:pt>
                <c:pt idx="18">
                  <c:v>-62</c:v>
                </c:pt>
                <c:pt idx="19">
                  <c:v>-57</c:v>
                </c:pt>
                <c:pt idx="20">
                  <c:v>-59</c:v>
                </c:pt>
                <c:pt idx="21">
                  <c:v>-59</c:v>
                </c:pt>
                <c:pt idx="22">
                  <c:v>-45</c:v>
                </c:pt>
                <c:pt idx="23">
                  <c:v>-48</c:v>
                </c:pt>
                <c:pt idx="24">
                  <c:v>-81</c:v>
                </c:pt>
                <c:pt idx="25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B6-4AA4-81FA-FC3E7F45D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44416"/>
        <c:axId val="1994191984"/>
      </c:scatterChart>
      <c:valAx>
        <c:axId val="372244416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191984"/>
        <c:crossesAt val="-100"/>
        <c:crossBetween val="midCat"/>
        <c:majorUnit val="5"/>
      </c:valAx>
      <c:valAx>
        <c:axId val="1994191984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224441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B20km!$Q$2:$Q$27</c:f>
              <c:numCache>
                <c:formatCode>0.000000</c:formatCode>
                <c:ptCount val="26"/>
                <c:pt idx="0">
                  <c:v>49.390941419752743</c:v>
                </c:pt>
                <c:pt idx="1">
                  <c:v>47.070281500217007</c:v>
                </c:pt>
                <c:pt idx="2">
                  <c:v>35.388052654569897</c:v>
                </c:pt>
                <c:pt idx="3">
                  <c:v>35.388052654569897</c:v>
                </c:pt>
                <c:pt idx="4">
                  <c:v>28.366389401819173</c:v>
                </c:pt>
                <c:pt idx="5">
                  <c:v>23.695695433879063</c:v>
                </c:pt>
                <c:pt idx="6">
                  <c:v>23.695695433879063</c:v>
                </c:pt>
                <c:pt idx="7">
                  <c:v>16.721929002881904</c:v>
                </c:pt>
                <c:pt idx="8">
                  <c:v>12.123678860226084</c:v>
                </c:pt>
                <c:pt idx="9">
                  <c:v>5.5605455891810838</c:v>
                </c:pt>
                <c:pt idx="10">
                  <c:v>2.969195987687816</c:v>
                </c:pt>
                <c:pt idx="11">
                  <c:v>2.969195987687816</c:v>
                </c:pt>
                <c:pt idx="12">
                  <c:v>7.6524758382776392</c:v>
                </c:pt>
                <c:pt idx="13">
                  <c:v>12.123678860226084</c:v>
                </c:pt>
                <c:pt idx="14">
                  <c:v>0</c:v>
                </c:pt>
                <c:pt idx="15">
                  <c:v>32.048066103116852</c:v>
                </c:pt>
                <c:pt idx="16">
                  <c:v>49.390941419752743</c:v>
                </c:pt>
                <c:pt idx="17">
                  <c:v>47.041103244580661</c:v>
                </c:pt>
                <c:pt idx="18">
                  <c:v>42.342093989979567</c:v>
                </c:pt>
                <c:pt idx="19">
                  <c:v>30.597506734143469</c:v>
                </c:pt>
                <c:pt idx="20">
                  <c:v>23.555761257689049</c:v>
                </c:pt>
                <c:pt idx="21">
                  <c:v>23.555761257689049</c:v>
                </c:pt>
                <c:pt idx="22">
                  <c:v>9.5203081250669808</c:v>
                </c:pt>
                <c:pt idx="23">
                  <c:v>4.9311871343198854</c:v>
                </c:pt>
                <c:pt idx="24">
                  <c:v>7.2081430162853817</c:v>
                </c:pt>
                <c:pt idx="25">
                  <c:v>7.2081430162853817</c:v>
                </c:pt>
              </c:numCache>
            </c:numRef>
          </c:xVal>
          <c:yVal>
            <c:numRef>
              <c:f>B20km!$G$2:$G$27</c:f>
              <c:numCache>
                <c:formatCode>General</c:formatCode>
                <c:ptCount val="26"/>
                <c:pt idx="0">
                  <c:v>-66</c:v>
                </c:pt>
                <c:pt idx="1">
                  <c:v>-64</c:v>
                </c:pt>
                <c:pt idx="2">
                  <c:v>-58</c:v>
                </c:pt>
                <c:pt idx="3">
                  <c:v>-58</c:v>
                </c:pt>
                <c:pt idx="4">
                  <c:v>-59</c:v>
                </c:pt>
                <c:pt idx="5">
                  <c:v>-61</c:v>
                </c:pt>
                <c:pt idx="6">
                  <c:v>-61</c:v>
                </c:pt>
                <c:pt idx="7">
                  <c:v>-53</c:v>
                </c:pt>
                <c:pt idx="8">
                  <c:v>-61</c:v>
                </c:pt>
                <c:pt idx="9">
                  <c:v>-36</c:v>
                </c:pt>
                <c:pt idx="10">
                  <c:v>-66</c:v>
                </c:pt>
                <c:pt idx="11">
                  <c:v>-66</c:v>
                </c:pt>
                <c:pt idx="12">
                  <c:v>-83</c:v>
                </c:pt>
                <c:pt idx="13">
                  <c:v>-85</c:v>
                </c:pt>
                <c:pt idx="15">
                  <c:v>-57</c:v>
                </c:pt>
                <c:pt idx="16">
                  <c:v>-67</c:v>
                </c:pt>
                <c:pt idx="17">
                  <c:v>-65</c:v>
                </c:pt>
                <c:pt idx="18">
                  <c:v>-62</c:v>
                </c:pt>
                <c:pt idx="19">
                  <c:v>-57</c:v>
                </c:pt>
                <c:pt idx="20">
                  <c:v>-59</c:v>
                </c:pt>
                <c:pt idx="21">
                  <c:v>-59</c:v>
                </c:pt>
                <c:pt idx="22">
                  <c:v>-45</c:v>
                </c:pt>
                <c:pt idx="23">
                  <c:v>-48</c:v>
                </c:pt>
                <c:pt idx="24">
                  <c:v>-81</c:v>
                </c:pt>
                <c:pt idx="25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F1-4BA4-ADA4-F9AEA7A4B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55616"/>
        <c:axId val="1495472496"/>
      </c:scatterChart>
      <c:valAx>
        <c:axId val="3722556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472496"/>
        <c:crossesAt val="-100"/>
        <c:crossBetween val="midCat"/>
        <c:majorUnit val="5"/>
      </c:valAx>
      <c:valAx>
        <c:axId val="149547249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225561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'C10km'!$E$1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'C10km'!$A$2:$A$16</c:f>
              <c:numCache>
                <c:formatCode>General</c:formatCode>
                <c:ptCount val="15"/>
                <c:pt idx="0">
                  <c:v>2.5</c:v>
                </c:pt>
                <c:pt idx="1">
                  <c:v>2.5</c:v>
                </c:pt>
                <c:pt idx="2">
                  <c:v>27.5</c:v>
                </c:pt>
                <c:pt idx="3">
                  <c:v>27.5</c:v>
                </c:pt>
                <c:pt idx="4">
                  <c:v>32.5</c:v>
                </c:pt>
                <c:pt idx="5">
                  <c:v>42.5</c:v>
                </c:pt>
                <c:pt idx="6">
                  <c:v>47.5</c:v>
                </c:pt>
                <c:pt idx="7">
                  <c:v>47.5</c:v>
                </c:pt>
                <c:pt idx="8">
                  <c:v>52.5</c:v>
                </c:pt>
                <c:pt idx="9">
                  <c:v>52.5</c:v>
                </c:pt>
                <c:pt idx="10">
                  <c:v>57.5</c:v>
                </c:pt>
                <c:pt idx="11">
                  <c:v>57.5</c:v>
                </c:pt>
                <c:pt idx="12">
                  <c:v>62.5</c:v>
                </c:pt>
                <c:pt idx="13">
                  <c:v>72.5</c:v>
                </c:pt>
                <c:pt idx="14">
                  <c:v>77.5</c:v>
                </c:pt>
              </c:numCache>
            </c:numRef>
          </c:xVal>
          <c:yVal>
            <c:numRef>
              <c:f>'C10km'!$E$2:$E$16</c:f>
              <c:numCache>
                <c:formatCode>0.0000</c:formatCode>
                <c:ptCount val="15"/>
                <c:pt idx="0">
                  <c:v>11.4824</c:v>
                </c:pt>
                <c:pt idx="1">
                  <c:v>11.852800000000002</c:v>
                </c:pt>
                <c:pt idx="2">
                  <c:v>12.4084</c:v>
                </c:pt>
                <c:pt idx="3">
                  <c:v>12.4084</c:v>
                </c:pt>
                <c:pt idx="4">
                  <c:v>12.4084</c:v>
                </c:pt>
                <c:pt idx="5">
                  <c:v>12.038</c:v>
                </c:pt>
                <c:pt idx="6">
                  <c:v>12.038</c:v>
                </c:pt>
                <c:pt idx="7">
                  <c:v>12.038</c:v>
                </c:pt>
                <c:pt idx="8">
                  <c:v>12.038</c:v>
                </c:pt>
                <c:pt idx="9">
                  <c:v>12.038</c:v>
                </c:pt>
                <c:pt idx="10">
                  <c:v>12.038</c:v>
                </c:pt>
                <c:pt idx="11">
                  <c:v>12.038</c:v>
                </c:pt>
                <c:pt idx="12">
                  <c:v>12.038</c:v>
                </c:pt>
                <c:pt idx="13">
                  <c:v>11.852800000000002</c:v>
                </c:pt>
                <c:pt idx="14">
                  <c:v>11.852800000000002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22-4166-917F-2345BD1DC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66256"/>
        <c:axId val="1495472080"/>
      </c:scatterChart>
      <c:valAx>
        <c:axId val="15196625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472080"/>
        <c:crosses val="autoZero"/>
        <c:crossBetween val="midCat"/>
        <c:majorUnit val="5"/>
      </c:valAx>
      <c:valAx>
        <c:axId val="14954720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196625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'C10km'!$Q$1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'C10km'!$A$2:$A$16</c:f>
              <c:numCache>
                <c:formatCode>General</c:formatCode>
                <c:ptCount val="15"/>
                <c:pt idx="0">
                  <c:v>2.5</c:v>
                </c:pt>
                <c:pt idx="1">
                  <c:v>2.5</c:v>
                </c:pt>
                <c:pt idx="2">
                  <c:v>27.5</c:v>
                </c:pt>
                <c:pt idx="3">
                  <c:v>27.5</c:v>
                </c:pt>
                <c:pt idx="4">
                  <c:v>32.5</c:v>
                </c:pt>
                <c:pt idx="5">
                  <c:v>42.5</c:v>
                </c:pt>
                <c:pt idx="6">
                  <c:v>47.5</c:v>
                </c:pt>
                <c:pt idx="7">
                  <c:v>47.5</c:v>
                </c:pt>
                <c:pt idx="8">
                  <c:v>52.5</c:v>
                </c:pt>
                <c:pt idx="9">
                  <c:v>52.5</c:v>
                </c:pt>
                <c:pt idx="10">
                  <c:v>57.5</c:v>
                </c:pt>
                <c:pt idx="11">
                  <c:v>57.5</c:v>
                </c:pt>
                <c:pt idx="12">
                  <c:v>62.5</c:v>
                </c:pt>
                <c:pt idx="13">
                  <c:v>72.5</c:v>
                </c:pt>
                <c:pt idx="14">
                  <c:v>77.5</c:v>
                </c:pt>
              </c:numCache>
            </c:numRef>
          </c:xVal>
          <c:yVal>
            <c:numRef>
              <c:f>'C10km'!$Q$2:$Q$16</c:f>
              <c:numCache>
                <c:formatCode>0.000000</c:formatCode>
                <c:ptCount val="15"/>
                <c:pt idx="0">
                  <c:v>43.096121305975203</c:v>
                </c:pt>
                <c:pt idx="1">
                  <c:v>40.790254163305733</c:v>
                </c:pt>
                <c:pt idx="2">
                  <c:v>23.068313221619672</c:v>
                </c:pt>
                <c:pt idx="3">
                  <c:v>19.944711093998766</c:v>
                </c:pt>
                <c:pt idx="4">
                  <c:v>16.336384754472224</c:v>
                </c:pt>
                <c:pt idx="5">
                  <c:v>13.463748868795282</c:v>
                </c:pt>
                <c:pt idx="6">
                  <c:v>13.463748868795282</c:v>
                </c:pt>
                <c:pt idx="7">
                  <c:v>15.146549748742261</c:v>
                </c:pt>
                <c:pt idx="8">
                  <c:v>15.146549748742261</c:v>
                </c:pt>
                <c:pt idx="9">
                  <c:v>16.708418951670502</c:v>
                </c:pt>
                <c:pt idx="10">
                  <c:v>20.735639440763819</c:v>
                </c:pt>
                <c:pt idx="11">
                  <c:v>22.241979300368875</c:v>
                </c:pt>
                <c:pt idx="12">
                  <c:v>22.241979300368875</c:v>
                </c:pt>
                <c:pt idx="13">
                  <c:v>32.787302217094997</c:v>
                </c:pt>
                <c:pt idx="14">
                  <c:v>34.989011685930379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1-4BD1-88A3-526C766D0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104"/>
        <c:axId val="1495473744"/>
      </c:scatterChart>
      <c:valAx>
        <c:axId val="15617510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473744"/>
        <c:crosses val="autoZero"/>
        <c:crossBetween val="midCat"/>
        <c:majorUnit val="5"/>
      </c:valAx>
      <c:valAx>
        <c:axId val="149547374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617510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'C10km'!$G$1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'C10km'!$A$2:$A$16</c:f>
              <c:numCache>
                <c:formatCode>General</c:formatCode>
                <c:ptCount val="15"/>
                <c:pt idx="0">
                  <c:v>2.5</c:v>
                </c:pt>
                <c:pt idx="1">
                  <c:v>2.5</c:v>
                </c:pt>
                <c:pt idx="2">
                  <c:v>27.5</c:v>
                </c:pt>
                <c:pt idx="3">
                  <c:v>27.5</c:v>
                </c:pt>
                <c:pt idx="4">
                  <c:v>32.5</c:v>
                </c:pt>
                <c:pt idx="5">
                  <c:v>42.5</c:v>
                </c:pt>
                <c:pt idx="6">
                  <c:v>47.5</c:v>
                </c:pt>
                <c:pt idx="7">
                  <c:v>47.5</c:v>
                </c:pt>
                <c:pt idx="8">
                  <c:v>52.5</c:v>
                </c:pt>
                <c:pt idx="9">
                  <c:v>52.5</c:v>
                </c:pt>
                <c:pt idx="10">
                  <c:v>57.5</c:v>
                </c:pt>
                <c:pt idx="11">
                  <c:v>57.5</c:v>
                </c:pt>
                <c:pt idx="12">
                  <c:v>62.5</c:v>
                </c:pt>
                <c:pt idx="13">
                  <c:v>72.5</c:v>
                </c:pt>
                <c:pt idx="14">
                  <c:v>77.5</c:v>
                </c:pt>
              </c:numCache>
            </c:numRef>
          </c:xVal>
          <c:yVal>
            <c:numRef>
              <c:f>'C10km'!$G$2:$G$16</c:f>
              <c:numCache>
                <c:formatCode>General</c:formatCode>
                <c:ptCount val="15"/>
                <c:pt idx="0">
                  <c:v>-66</c:v>
                </c:pt>
                <c:pt idx="1">
                  <c:v>-65</c:v>
                </c:pt>
                <c:pt idx="2">
                  <c:v>-57</c:v>
                </c:pt>
                <c:pt idx="3">
                  <c:v>-56</c:v>
                </c:pt>
                <c:pt idx="4">
                  <c:v>-57</c:v>
                </c:pt>
                <c:pt idx="5">
                  <c:v>-38</c:v>
                </c:pt>
                <c:pt idx="6">
                  <c:v>-38</c:v>
                </c:pt>
                <c:pt idx="7">
                  <c:v>-52</c:v>
                </c:pt>
                <c:pt idx="8">
                  <c:v>-52</c:v>
                </c:pt>
                <c:pt idx="9">
                  <c:v>-71</c:v>
                </c:pt>
                <c:pt idx="10">
                  <c:v>-63</c:v>
                </c:pt>
                <c:pt idx="11">
                  <c:v>-74</c:v>
                </c:pt>
                <c:pt idx="12">
                  <c:v>-74</c:v>
                </c:pt>
                <c:pt idx="13">
                  <c:v>-80</c:v>
                </c:pt>
                <c:pt idx="14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EB-47EF-A79E-5607F05B9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93504"/>
        <c:axId val="1495471248"/>
      </c:scatterChart>
      <c:valAx>
        <c:axId val="15619350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471248"/>
        <c:crossesAt val="-100"/>
        <c:crossBetween val="midCat"/>
        <c:majorUnit val="5"/>
      </c:valAx>
      <c:valAx>
        <c:axId val="149547124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619350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'C10km'!$G$1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'C10km'!$E$2:$E$16</c:f>
              <c:numCache>
                <c:formatCode>0.0000</c:formatCode>
                <c:ptCount val="15"/>
                <c:pt idx="0">
                  <c:v>11.4824</c:v>
                </c:pt>
                <c:pt idx="1">
                  <c:v>11.852800000000002</c:v>
                </c:pt>
                <c:pt idx="2">
                  <c:v>12.4084</c:v>
                </c:pt>
                <c:pt idx="3">
                  <c:v>12.4084</c:v>
                </c:pt>
                <c:pt idx="4">
                  <c:v>12.4084</c:v>
                </c:pt>
                <c:pt idx="5">
                  <c:v>12.038</c:v>
                </c:pt>
                <c:pt idx="6">
                  <c:v>12.038</c:v>
                </c:pt>
                <c:pt idx="7">
                  <c:v>12.038</c:v>
                </c:pt>
                <c:pt idx="8">
                  <c:v>12.038</c:v>
                </c:pt>
                <c:pt idx="9">
                  <c:v>12.038</c:v>
                </c:pt>
                <c:pt idx="10">
                  <c:v>12.038</c:v>
                </c:pt>
                <c:pt idx="11">
                  <c:v>12.038</c:v>
                </c:pt>
                <c:pt idx="12">
                  <c:v>12.038</c:v>
                </c:pt>
                <c:pt idx="13">
                  <c:v>11.852800000000002</c:v>
                </c:pt>
                <c:pt idx="14">
                  <c:v>11.852800000000002</c:v>
                </c:pt>
              </c:numCache>
            </c:numRef>
          </c:xVal>
          <c:yVal>
            <c:numRef>
              <c:f>'C10km'!$G$2:$G$16</c:f>
              <c:numCache>
                <c:formatCode>General</c:formatCode>
                <c:ptCount val="15"/>
                <c:pt idx="0">
                  <c:v>-66</c:v>
                </c:pt>
                <c:pt idx="1">
                  <c:v>-65</c:v>
                </c:pt>
                <c:pt idx="2">
                  <c:v>-57</c:v>
                </c:pt>
                <c:pt idx="3">
                  <c:v>-56</c:v>
                </c:pt>
                <c:pt idx="4">
                  <c:v>-57</c:v>
                </c:pt>
                <c:pt idx="5">
                  <c:v>-38</c:v>
                </c:pt>
                <c:pt idx="6">
                  <c:v>-38</c:v>
                </c:pt>
                <c:pt idx="7">
                  <c:v>-52</c:v>
                </c:pt>
                <c:pt idx="8">
                  <c:v>-52</c:v>
                </c:pt>
                <c:pt idx="9">
                  <c:v>-71</c:v>
                </c:pt>
                <c:pt idx="10">
                  <c:v>-63</c:v>
                </c:pt>
                <c:pt idx="11">
                  <c:v>-74</c:v>
                </c:pt>
                <c:pt idx="12">
                  <c:v>-74</c:v>
                </c:pt>
                <c:pt idx="13">
                  <c:v>-80</c:v>
                </c:pt>
                <c:pt idx="14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17-4F22-B004-02B68E889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93504"/>
        <c:axId val="1491710000"/>
      </c:scatterChart>
      <c:valAx>
        <c:axId val="156193504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710000"/>
        <c:crossesAt val="-100"/>
        <c:crossBetween val="midCat"/>
        <c:majorUnit val="5"/>
      </c:valAx>
      <c:valAx>
        <c:axId val="149171000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619350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'C10km'!$G$1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'C10km'!$Q$2:$Q$16</c:f>
              <c:numCache>
                <c:formatCode>0.000000</c:formatCode>
                <c:ptCount val="15"/>
                <c:pt idx="0">
                  <c:v>43.096121305975203</c:v>
                </c:pt>
                <c:pt idx="1">
                  <c:v>40.790254163305733</c:v>
                </c:pt>
                <c:pt idx="2">
                  <c:v>23.068313221619672</c:v>
                </c:pt>
                <c:pt idx="3">
                  <c:v>19.944711093998766</c:v>
                </c:pt>
                <c:pt idx="4">
                  <c:v>16.336384754472224</c:v>
                </c:pt>
                <c:pt idx="5">
                  <c:v>13.463748868795282</c:v>
                </c:pt>
                <c:pt idx="6">
                  <c:v>13.463748868795282</c:v>
                </c:pt>
                <c:pt idx="7">
                  <c:v>15.146549748742261</c:v>
                </c:pt>
                <c:pt idx="8">
                  <c:v>15.146549748742261</c:v>
                </c:pt>
                <c:pt idx="9">
                  <c:v>16.708418951670502</c:v>
                </c:pt>
                <c:pt idx="10">
                  <c:v>20.735639440763819</c:v>
                </c:pt>
                <c:pt idx="11">
                  <c:v>22.241979300368875</c:v>
                </c:pt>
                <c:pt idx="12">
                  <c:v>22.241979300368875</c:v>
                </c:pt>
                <c:pt idx="13">
                  <c:v>32.787302217094997</c:v>
                </c:pt>
                <c:pt idx="14">
                  <c:v>34.989011685930379</c:v>
                </c:pt>
              </c:numCache>
            </c:numRef>
          </c:xVal>
          <c:yVal>
            <c:numRef>
              <c:f>'C10km'!$G$2:$G$16</c:f>
              <c:numCache>
                <c:formatCode>General</c:formatCode>
                <c:ptCount val="15"/>
                <c:pt idx="0">
                  <c:v>-66</c:v>
                </c:pt>
                <c:pt idx="1">
                  <c:v>-65</c:v>
                </c:pt>
                <c:pt idx="2">
                  <c:v>-57</c:v>
                </c:pt>
                <c:pt idx="3">
                  <c:v>-56</c:v>
                </c:pt>
                <c:pt idx="4">
                  <c:v>-57</c:v>
                </c:pt>
                <c:pt idx="5">
                  <c:v>-38</c:v>
                </c:pt>
                <c:pt idx="6">
                  <c:v>-38</c:v>
                </c:pt>
                <c:pt idx="7">
                  <c:v>-52</c:v>
                </c:pt>
                <c:pt idx="8">
                  <c:v>-52</c:v>
                </c:pt>
                <c:pt idx="9">
                  <c:v>-71</c:v>
                </c:pt>
                <c:pt idx="10">
                  <c:v>-63</c:v>
                </c:pt>
                <c:pt idx="11">
                  <c:v>-74</c:v>
                </c:pt>
                <c:pt idx="12">
                  <c:v>-74</c:v>
                </c:pt>
                <c:pt idx="13">
                  <c:v>-80</c:v>
                </c:pt>
                <c:pt idx="14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AA-4B83-BE0E-35B9C1B74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81008"/>
        <c:axId val="1491711664"/>
      </c:scatterChart>
      <c:valAx>
        <c:axId val="148281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711664"/>
        <c:crossesAt val="-100"/>
        <c:crossBetween val="midCat"/>
        <c:majorUnit val="5"/>
      </c:valAx>
      <c:valAx>
        <c:axId val="1491711664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828100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D10km!$E$1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D10km!$A$2:$A$17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57.5</c:v>
                </c:pt>
                <c:pt idx="6">
                  <c:v>57.5</c:v>
                </c:pt>
                <c:pt idx="7">
                  <c:v>57.5</c:v>
                </c:pt>
                <c:pt idx="8">
                  <c:v>62.5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  <c:pt idx="13">
                  <c:v>72.5</c:v>
                </c:pt>
                <c:pt idx="14">
                  <c:v>77.5</c:v>
                </c:pt>
                <c:pt idx="15">
                  <c:v>77.5</c:v>
                </c:pt>
              </c:numCache>
            </c:numRef>
          </c:xVal>
          <c:yVal>
            <c:numRef>
              <c:f>D10km!$E$2:$E$17</c:f>
              <c:numCache>
                <c:formatCode>0.0000</c:formatCode>
                <c:ptCount val="16"/>
                <c:pt idx="0">
                  <c:v>9.4451999999999998</c:v>
                </c:pt>
                <c:pt idx="1">
                  <c:v>9.4451999999999998</c:v>
                </c:pt>
                <c:pt idx="2">
                  <c:v>9.6304000000000016</c:v>
                </c:pt>
                <c:pt idx="3">
                  <c:v>9.6304000000000016</c:v>
                </c:pt>
                <c:pt idx="4">
                  <c:v>9.26</c:v>
                </c:pt>
                <c:pt idx="5">
                  <c:v>10.7416</c:v>
                </c:pt>
                <c:pt idx="6">
                  <c:v>10.7416</c:v>
                </c:pt>
                <c:pt idx="7">
                  <c:v>10.5564</c:v>
                </c:pt>
                <c:pt idx="8">
                  <c:v>10.5564</c:v>
                </c:pt>
                <c:pt idx="9">
                  <c:v>10.5564</c:v>
                </c:pt>
                <c:pt idx="10">
                  <c:v>10.5564</c:v>
                </c:pt>
                <c:pt idx="11">
                  <c:v>10.5564</c:v>
                </c:pt>
                <c:pt idx="12">
                  <c:v>10.5564</c:v>
                </c:pt>
                <c:pt idx="13">
                  <c:v>10.7416</c:v>
                </c:pt>
                <c:pt idx="14">
                  <c:v>10.7416</c:v>
                </c:pt>
                <c:pt idx="15">
                  <c:v>10.7416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3-499F-9851-BC2F9B4B4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7008"/>
        <c:axId val="1491710416"/>
      </c:scatterChart>
      <c:valAx>
        <c:axId val="148297008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710416"/>
        <c:crosses val="autoZero"/>
        <c:crossBetween val="midCat"/>
        <c:majorUnit val="5"/>
      </c:valAx>
      <c:valAx>
        <c:axId val="14917104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829700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D10km!$Q$1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D10km!$A$2:$A$17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57.5</c:v>
                </c:pt>
                <c:pt idx="6">
                  <c:v>57.5</c:v>
                </c:pt>
                <c:pt idx="7">
                  <c:v>57.5</c:v>
                </c:pt>
                <c:pt idx="8">
                  <c:v>62.5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  <c:pt idx="13">
                  <c:v>72.5</c:v>
                </c:pt>
                <c:pt idx="14">
                  <c:v>77.5</c:v>
                </c:pt>
                <c:pt idx="15">
                  <c:v>77.5</c:v>
                </c:pt>
              </c:numCache>
            </c:numRef>
          </c:xVal>
          <c:yVal>
            <c:numRef>
              <c:f>D10km!$Q$2:$Q$17</c:f>
              <c:numCache>
                <c:formatCode>0.000000</c:formatCode>
                <c:ptCount val="16"/>
                <c:pt idx="0">
                  <c:v>51.910839578701435</c:v>
                </c:pt>
                <c:pt idx="1">
                  <c:v>47.228144617315266</c:v>
                </c:pt>
                <c:pt idx="2">
                  <c:v>44.888241576727893</c:v>
                </c:pt>
                <c:pt idx="3">
                  <c:v>44.888241576727893</c:v>
                </c:pt>
                <c:pt idx="4">
                  <c:v>42.549584102728758</c:v>
                </c:pt>
                <c:pt idx="5">
                  <c:v>4.4527797966252631</c:v>
                </c:pt>
                <c:pt idx="6">
                  <c:v>8.340953754911304</c:v>
                </c:pt>
                <c:pt idx="7">
                  <c:v>10.404347677691314</c:v>
                </c:pt>
                <c:pt idx="8">
                  <c:v>10.404347677691314</c:v>
                </c:pt>
                <c:pt idx="9">
                  <c:v>12.326135907835784</c:v>
                </c:pt>
                <c:pt idx="10">
                  <c:v>14.791424157563041</c:v>
                </c:pt>
                <c:pt idx="11">
                  <c:v>19.327134408536093</c:v>
                </c:pt>
                <c:pt idx="12">
                  <c:v>21.621504826602358</c:v>
                </c:pt>
                <c:pt idx="13">
                  <c:v>23.926911735296674</c:v>
                </c:pt>
                <c:pt idx="14">
                  <c:v>23.926911735296674</c:v>
                </c:pt>
                <c:pt idx="15">
                  <c:v>28.559817415131892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B-4578-807F-5D5B3952A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7008"/>
        <c:axId val="1491710832"/>
      </c:scatterChart>
      <c:valAx>
        <c:axId val="148297008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710832"/>
        <c:crosses val="autoZero"/>
        <c:crossBetween val="midCat"/>
        <c:majorUnit val="5"/>
      </c:valAx>
      <c:valAx>
        <c:axId val="14917108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829700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D10km!$A$2:$A$17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7.5</c:v>
                </c:pt>
                <c:pt idx="4">
                  <c:v>7.5</c:v>
                </c:pt>
                <c:pt idx="5">
                  <c:v>57.5</c:v>
                </c:pt>
                <c:pt idx="6">
                  <c:v>57.5</c:v>
                </c:pt>
                <c:pt idx="7">
                  <c:v>57.5</c:v>
                </c:pt>
                <c:pt idx="8">
                  <c:v>62.5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  <c:pt idx="13">
                  <c:v>72.5</c:v>
                </c:pt>
                <c:pt idx="14">
                  <c:v>77.5</c:v>
                </c:pt>
                <c:pt idx="15">
                  <c:v>77.5</c:v>
                </c:pt>
              </c:numCache>
            </c:numRef>
          </c:xVal>
          <c:yVal>
            <c:numRef>
              <c:f>D10km!$G$2:$G$17</c:f>
              <c:numCache>
                <c:formatCode>General</c:formatCode>
                <c:ptCount val="16"/>
                <c:pt idx="0">
                  <c:v>-69</c:v>
                </c:pt>
                <c:pt idx="1">
                  <c:v>-66</c:v>
                </c:pt>
                <c:pt idx="2">
                  <c:v>-66</c:v>
                </c:pt>
                <c:pt idx="3">
                  <c:v>-66</c:v>
                </c:pt>
                <c:pt idx="4">
                  <c:v>-64</c:v>
                </c:pt>
                <c:pt idx="5">
                  <c:v>-57</c:v>
                </c:pt>
                <c:pt idx="6">
                  <c:v>-63</c:v>
                </c:pt>
                <c:pt idx="7">
                  <c:v>-63</c:v>
                </c:pt>
                <c:pt idx="8">
                  <c:v>-63</c:v>
                </c:pt>
                <c:pt idx="9">
                  <c:v>-80</c:v>
                </c:pt>
                <c:pt idx="10">
                  <c:v>-77</c:v>
                </c:pt>
                <c:pt idx="11">
                  <c:v>-76</c:v>
                </c:pt>
                <c:pt idx="12">
                  <c:v>-82</c:v>
                </c:pt>
                <c:pt idx="13">
                  <c:v>-86</c:v>
                </c:pt>
                <c:pt idx="14">
                  <c:v>-86</c:v>
                </c:pt>
                <c:pt idx="1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8-48F0-AB8C-CA25BC95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31632"/>
        <c:axId val="150562896"/>
      </c:scatterChart>
      <c:valAx>
        <c:axId val="150531632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62896"/>
        <c:crossesAt val="-100"/>
        <c:crossBetween val="midCat"/>
        <c:majorUnit val="5"/>
      </c:valAx>
      <c:valAx>
        <c:axId val="15056289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3163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D10km!$E$2:$E$17</c:f>
              <c:numCache>
                <c:formatCode>0.0000</c:formatCode>
                <c:ptCount val="16"/>
                <c:pt idx="0">
                  <c:v>9.4451999999999998</c:v>
                </c:pt>
                <c:pt idx="1">
                  <c:v>9.4451999999999998</c:v>
                </c:pt>
                <c:pt idx="2">
                  <c:v>9.6304000000000016</c:v>
                </c:pt>
                <c:pt idx="3">
                  <c:v>9.6304000000000016</c:v>
                </c:pt>
                <c:pt idx="4">
                  <c:v>9.26</c:v>
                </c:pt>
                <c:pt idx="5">
                  <c:v>10.7416</c:v>
                </c:pt>
                <c:pt idx="6">
                  <c:v>10.7416</c:v>
                </c:pt>
                <c:pt idx="7">
                  <c:v>10.5564</c:v>
                </c:pt>
                <c:pt idx="8">
                  <c:v>10.5564</c:v>
                </c:pt>
                <c:pt idx="9">
                  <c:v>10.5564</c:v>
                </c:pt>
                <c:pt idx="10">
                  <c:v>10.5564</c:v>
                </c:pt>
                <c:pt idx="11">
                  <c:v>10.5564</c:v>
                </c:pt>
                <c:pt idx="12">
                  <c:v>10.5564</c:v>
                </c:pt>
                <c:pt idx="13">
                  <c:v>10.7416</c:v>
                </c:pt>
                <c:pt idx="14">
                  <c:v>10.7416</c:v>
                </c:pt>
                <c:pt idx="15">
                  <c:v>10.7416</c:v>
                </c:pt>
              </c:numCache>
            </c:numRef>
          </c:xVal>
          <c:yVal>
            <c:numRef>
              <c:f>D10km!$G$2:$G$17</c:f>
              <c:numCache>
                <c:formatCode>General</c:formatCode>
                <c:ptCount val="16"/>
                <c:pt idx="0">
                  <c:v>-69</c:v>
                </c:pt>
                <c:pt idx="1">
                  <c:v>-66</c:v>
                </c:pt>
                <c:pt idx="2">
                  <c:v>-66</c:v>
                </c:pt>
                <c:pt idx="3">
                  <c:v>-66</c:v>
                </c:pt>
                <c:pt idx="4">
                  <c:v>-64</c:v>
                </c:pt>
                <c:pt idx="5">
                  <c:v>-57</c:v>
                </c:pt>
                <c:pt idx="6">
                  <c:v>-63</c:v>
                </c:pt>
                <c:pt idx="7">
                  <c:v>-63</c:v>
                </c:pt>
                <c:pt idx="8">
                  <c:v>-63</c:v>
                </c:pt>
                <c:pt idx="9">
                  <c:v>-80</c:v>
                </c:pt>
                <c:pt idx="10">
                  <c:v>-77</c:v>
                </c:pt>
                <c:pt idx="11">
                  <c:v>-76</c:v>
                </c:pt>
                <c:pt idx="12">
                  <c:v>-82</c:v>
                </c:pt>
                <c:pt idx="13">
                  <c:v>-86</c:v>
                </c:pt>
                <c:pt idx="14">
                  <c:v>-86</c:v>
                </c:pt>
                <c:pt idx="1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CE-473F-8B82-F00255B82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1632"/>
        <c:axId val="150561648"/>
      </c:scatterChart>
      <c:valAx>
        <c:axId val="150541632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61648"/>
        <c:crossesAt val="-100"/>
        <c:crossBetween val="midCat"/>
        <c:majorUnit val="5"/>
      </c:valAx>
      <c:valAx>
        <c:axId val="15056164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4163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D10km!$Q$2:$Q$17</c:f>
              <c:numCache>
                <c:formatCode>0.000000</c:formatCode>
                <c:ptCount val="16"/>
                <c:pt idx="0">
                  <c:v>51.910839578701435</c:v>
                </c:pt>
                <c:pt idx="1">
                  <c:v>47.228144617315266</c:v>
                </c:pt>
                <c:pt idx="2">
                  <c:v>44.888241576727893</c:v>
                </c:pt>
                <c:pt idx="3">
                  <c:v>44.888241576727893</c:v>
                </c:pt>
                <c:pt idx="4">
                  <c:v>42.549584102728758</c:v>
                </c:pt>
                <c:pt idx="5">
                  <c:v>4.4527797966252631</c:v>
                </c:pt>
                <c:pt idx="6">
                  <c:v>8.340953754911304</c:v>
                </c:pt>
                <c:pt idx="7">
                  <c:v>10.404347677691314</c:v>
                </c:pt>
                <c:pt idx="8">
                  <c:v>10.404347677691314</c:v>
                </c:pt>
                <c:pt idx="9">
                  <c:v>12.326135907835784</c:v>
                </c:pt>
                <c:pt idx="10">
                  <c:v>14.791424157563041</c:v>
                </c:pt>
                <c:pt idx="11">
                  <c:v>19.327134408536093</c:v>
                </c:pt>
                <c:pt idx="12">
                  <c:v>21.621504826602358</c:v>
                </c:pt>
                <c:pt idx="13">
                  <c:v>23.926911735296674</c:v>
                </c:pt>
                <c:pt idx="14">
                  <c:v>23.926911735296674</c:v>
                </c:pt>
                <c:pt idx="15">
                  <c:v>28.559817415131892</c:v>
                </c:pt>
              </c:numCache>
            </c:numRef>
          </c:xVal>
          <c:yVal>
            <c:numRef>
              <c:f>D10km!$G$2:$G$17</c:f>
              <c:numCache>
                <c:formatCode>General</c:formatCode>
                <c:ptCount val="16"/>
                <c:pt idx="0">
                  <c:v>-69</c:v>
                </c:pt>
                <c:pt idx="1">
                  <c:v>-66</c:v>
                </c:pt>
                <c:pt idx="2">
                  <c:v>-66</c:v>
                </c:pt>
                <c:pt idx="3">
                  <c:v>-66</c:v>
                </c:pt>
                <c:pt idx="4">
                  <c:v>-64</c:v>
                </c:pt>
                <c:pt idx="5">
                  <c:v>-57</c:v>
                </c:pt>
                <c:pt idx="6">
                  <c:v>-63</c:v>
                </c:pt>
                <c:pt idx="7">
                  <c:v>-63</c:v>
                </c:pt>
                <c:pt idx="8">
                  <c:v>-63</c:v>
                </c:pt>
                <c:pt idx="9">
                  <c:v>-80</c:v>
                </c:pt>
                <c:pt idx="10">
                  <c:v>-77</c:v>
                </c:pt>
                <c:pt idx="11">
                  <c:v>-76</c:v>
                </c:pt>
                <c:pt idx="12">
                  <c:v>-82</c:v>
                </c:pt>
                <c:pt idx="13">
                  <c:v>-86</c:v>
                </c:pt>
                <c:pt idx="14">
                  <c:v>-86</c:v>
                </c:pt>
                <c:pt idx="15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7F-4A48-8708-8D592055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1632"/>
        <c:axId val="150562480"/>
      </c:scatterChart>
      <c:valAx>
        <c:axId val="1505416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62480"/>
        <c:crossesAt val="-100"/>
        <c:crossBetween val="midCat"/>
        <c:majorUnit val="5"/>
      </c:valAx>
      <c:valAx>
        <c:axId val="15056248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4163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E10km!$E$1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E10km!$A$2:$A$19</c:f>
              <c:numCache>
                <c:formatCode>General</c:formatCode>
                <c:ptCount val="18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17.5</c:v>
                </c:pt>
                <c:pt idx="5">
                  <c:v>22.5</c:v>
                </c:pt>
                <c:pt idx="6">
                  <c:v>27.5</c:v>
                </c:pt>
                <c:pt idx="7">
                  <c:v>32.5</c:v>
                </c:pt>
                <c:pt idx="8">
                  <c:v>37.5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52.5</c:v>
                </c:pt>
                <c:pt idx="13">
                  <c:v>57.5</c:v>
                </c:pt>
                <c:pt idx="14">
                  <c:v>62.5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</c:numCache>
            </c:numRef>
          </c:xVal>
          <c:yVal>
            <c:numRef>
              <c:f>E10km!$E$2:$E$19</c:f>
              <c:numCache>
                <c:formatCode>0.0000</c:formatCode>
                <c:ptCount val="18"/>
                <c:pt idx="0">
                  <c:v>12.964</c:v>
                </c:pt>
                <c:pt idx="1">
                  <c:v>17.594000000000001</c:v>
                </c:pt>
                <c:pt idx="2">
                  <c:v>17.594000000000001</c:v>
                </c:pt>
                <c:pt idx="3">
                  <c:v>18.8904</c:v>
                </c:pt>
                <c:pt idx="4">
                  <c:v>19.446000000000002</c:v>
                </c:pt>
                <c:pt idx="5">
                  <c:v>20.186800000000002</c:v>
                </c:pt>
                <c:pt idx="6">
                  <c:v>20.186800000000002</c:v>
                </c:pt>
                <c:pt idx="7">
                  <c:v>18.8904</c:v>
                </c:pt>
                <c:pt idx="8">
                  <c:v>19.446000000000002</c:v>
                </c:pt>
                <c:pt idx="9">
                  <c:v>19.6312</c:v>
                </c:pt>
                <c:pt idx="10">
                  <c:v>19.6312</c:v>
                </c:pt>
                <c:pt idx="11">
                  <c:v>19.6312</c:v>
                </c:pt>
                <c:pt idx="12">
                  <c:v>19.6312</c:v>
                </c:pt>
                <c:pt idx="13">
                  <c:v>19.6312</c:v>
                </c:pt>
                <c:pt idx="14">
                  <c:v>19.6312</c:v>
                </c:pt>
                <c:pt idx="15">
                  <c:v>19.6312</c:v>
                </c:pt>
                <c:pt idx="16">
                  <c:v>19.6312</c:v>
                </c:pt>
                <c:pt idx="17">
                  <c:v>19.6312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1-4D4D-88A4-F0E7543A3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663664"/>
        <c:axId val="150562064"/>
      </c:scatterChart>
      <c:valAx>
        <c:axId val="3846636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562064"/>
        <c:crosses val="autoZero"/>
        <c:crossBetween val="midCat"/>
        <c:majorUnit val="5"/>
      </c:valAx>
      <c:valAx>
        <c:axId val="15056206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6636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E10km!$Q$1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E10km!$A$2:$A$19</c:f>
              <c:numCache>
                <c:formatCode>General</c:formatCode>
                <c:ptCount val="18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17.5</c:v>
                </c:pt>
                <c:pt idx="5">
                  <c:v>22.5</c:v>
                </c:pt>
                <c:pt idx="6">
                  <c:v>27.5</c:v>
                </c:pt>
                <c:pt idx="7">
                  <c:v>32.5</c:v>
                </c:pt>
                <c:pt idx="8">
                  <c:v>37.5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52.5</c:v>
                </c:pt>
                <c:pt idx="13">
                  <c:v>57.5</c:v>
                </c:pt>
                <c:pt idx="14">
                  <c:v>62.5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</c:numCache>
            </c:numRef>
          </c:xVal>
          <c:yVal>
            <c:numRef>
              <c:f>E10km!$Q$2:$Q$19</c:f>
              <c:numCache>
                <c:formatCode>0.000000</c:formatCode>
                <c:ptCount val="18"/>
                <c:pt idx="0">
                  <c:v>51.804672979904822</c:v>
                </c:pt>
                <c:pt idx="1">
                  <c:v>47.111330781788766</c:v>
                </c:pt>
                <c:pt idx="2">
                  <c:v>47.111330781788766</c:v>
                </c:pt>
                <c:pt idx="3">
                  <c:v>40.075243571274129</c:v>
                </c:pt>
                <c:pt idx="4">
                  <c:v>35.388052654569897</c:v>
                </c:pt>
                <c:pt idx="5">
                  <c:v>28.366389401819173</c:v>
                </c:pt>
                <c:pt idx="6">
                  <c:v>23.695695433879063</c:v>
                </c:pt>
                <c:pt idx="7">
                  <c:v>19.040141841103623</c:v>
                </c:pt>
                <c:pt idx="8">
                  <c:v>14.279671494553391</c:v>
                </c:pt>
                <c:pt idx="9">
                  <c:v>7.3961700786524176</c:v>
                </c:pt>
                <c:pt idx="10">
                  <c:v>2.969195987687816</c:v>
                </c:pt>
                <c:pt idx="11">
                  <c:v>2.969195987687816</c:v>
                </c:pt>
                <c:pt idx="12">
                  <c:v>5.5605455891810838</c:v>
                </c:pt>
                <c:pt idx="13">
                  <c:v>5.5605455891810838</c:v>
                </c:pt>
                <c:pt idx="14">
                  <c:v>9.8610003292168926</c:v>
                </c:pt>
                <c:pt idx="15">
                  <c:v>14.414406180060945</c:v>
                </c:pt>
                <c:pt idx="16">
                  <c:v>21.365353913416179</c:v>
                </c:pt>
                <c:pt idx="17">
                  <c:v>21.365353913416179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67-4852-9824-332E23B47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675264"/>
        <c:axId val="1995113376"/>
      </c:scatterChart>
      <c:valAx>
        <c:axId val="3846752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113376"/>
        <c:crosses val="autoZero"/>
        <c:crossBetween val="midCat"/>
        <c:majorUnit val="5"/>
      </c:valAx>
      <c:valAx>
        <c:axId val="199511337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6752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E10km!$A$2:$A$19</c:f>
              <c:numCache>
                <c:formatCode>General</c:formatCode>
                <c:ptCount val="18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17.5</c:v>
                </c:pt>
                <c:pt idx="5">
                  <c:v>22.5</c:v>
                </c:pt>
                <c:pt idx="6">
                  <c:v>27.5</c:v>
                </c:pt>
                <c:pt idx="7">
                  <c:v>32.5</c:v>
                </c:pt>
                <c:pt idx="8">
                  <c:v>37.5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52.5</c:v>
                </c:pt>
                <c:pt idx="13">
                  <c:v>57.5</c:v>
                </c:pt>
                <c:pt idx="14">
                  <c:v>62.5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</c:numCache>
            </c:numRef>
          </c:xVal>
          <c:yVal>
            <c:numRef>
              <c:f>E10km!$G$2:$G$19</c:f>
              <c:numCache>
                <c:formatCode>General</c:formatCode>
                <c:ptCount val="18"/>
                <c:pt idx="0">
                  <c:v>-67</c:v>
                </c:pt>
                <c:pt idx="1">
                  <c:v>-66</c:v>
                </c:pt>
                <c:pt idx="2">
                  <c:v>-66</c:v>
                </c:pt>
                <c:pt idx="3">
                  <c:v>-64</c:v>
                </c:pt>
                <c:pt idx="4">
                  <c:v>-61</c:v>
                </c:pt>
                <c:pt idx="5">
                  <c:v>-59</c:v>
                </c:pt>
                <c:pt idx="6">
                  <c:v>-58</c:v>
                </c:pt>
                <c:pt idx="7">
                  <c:v>-54</c:v>
                </c:pt>
                <c:pt idx="8">
                  <c:v>-48</c:v>
                </c:pt>
                <c:pt idx="9">
                  <c:v>-46</c:v>
                </c:pt>
                <c:pt idx="10">
                  <c:v>-60</c:v>
                </c:pt>
                <c:pt idx="11">
                  <c:v>-60</c:v>
                </c:pt>
                <c:pt idx="12">
                  <c:v>-63</c:v>
                </c:pt>
                <c:pt idx="13">
                  <c:v>-63</c:v>
                </c:pt>
                <c:pt idx="14">
                  <c:v>-73</c:v>
                </c:pt>
                <c:pt idx="15">
                  <c:v>-76</c:v>
                </c:pt>
                <c:pt idx="16">
                  <c:v>-78</c:v>
                </c:pt>
                <c:pt idx="17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5-4887-AAEB-73E5C1E4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675264"/>
        <c:axId val="1995112544"/>
      </c:scatterChart>
      <c:valAx>
        <c:axId val="3846752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112544"/>
        <c:crossesAt val="-100"/>
        <c:crossBetween val="midCat"/>
        <c:majorUnit val="5"/>
      </c:valAx>
      <c:valAx>
        <c:axId val="1995112544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6752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E10km!$E$2:$E$19</c:f>
              <c:numCache>
                <c:formatCode>0.0000</c:formatCode>
                <c:ptCount val="18"/>
                <c:pt idx="0">
                  <c:v>12.964</c:v>
                </c:pt>
                <c:pt idx="1">
                  <c:v>17.594000000000001</c:v>
                </c:pt>
                <c:pt idx="2">
                  <c:v>17.594000000000001</c:v>
                </c:pt>
                <c:pt idx="3">
                  <c:v>18.8904</c:v>
                </c:pt>
                <c:pt idx="4">
                  <c:v>19.446000000000002</c:v>
                </c:pt>
                <c:pt idx="5">
                  <c:v>20.186800000000002</c:v>
                </c:pt>
                <c:pt idx="6">
                  <c:v>20.186800000000002</c:v>
                </c:pt>
                <c:pt idx="7">
                  <c:v>18.8904</c:v>
                </c:pt>
                <c:pt idx="8">
                  <c:v>19.446000000000002</c:v>
                </c:pt>
                <c:pt idx="9">
                  <c:v>19.6312</c:v>
                </c:pt>
                <c:pt idx="10">
                  <c:v>19.6312</c:v>
                </c:pt>
                <c:pt idx="11">
                  <c:v>19.6312</c:v>
                </c:pt>
                <c:pt idx="12">
                  <c:v>19.6312</c:v>
                </c:pt>
                <c:pt idx="13">
                  <c:v>19.6312</c:v>
                </c:pt>
                <c:pt idx="14">
                  <c:v>19.6312</c:v>
                </c:pt>
                <c:pt idx="15">
                  <c:v>19.6312</c:v>
                </c:pt>
                <c:pt idx="16">
                  <c:v>19.6312</c:v>
                </c:pt>
                <c:pt idx="17">
                  <c:v>19.6312</c:v>
                </c:pt>
              </c:numCache>
            </c:numRef>
          </c:xVal>
          <c:yVal>
            <c:numRef>
              <c:f>E10km!$G$2:$G$19</c:f>
              <c:numCache>
                <c:formatCode>General</c:formatCode>
                <c:ptCount val="18"/>
                <c:pt idx="0">
                  <c:v>-67</c:v>
                </c:pt>
                <c:pt idx="1">
                  <c:v>-66</c:v>
                </c:pt>
                <c:pt idx="2">
                  <c:v>-66</c:v>
                </c:pt>
                <c:pt idx="3">
                  <c:v>-64</c:v>
                </c:pt>
                <c:pt idx="4">
                  <c:v>-61</c:v>
                </c:pt>
                <c:pt idx="5">
                  <c:v>-59</c:v>
                </c:pt>
                <c:pt idx="6">
                  <c:v>-58</c:v>
                </c:pt>
                <c:pt idx="7">
                  <c:v>-54</c:v>
                </c:pt>
                <c:pt idx="8">
                  <c:v>-48</c:v>
                </c:pt>
                <c:pt idx="9">
                  <c:v>-46</c:v>
                </c:pt>
                <c:pt idx="10">
                  <c:v>-60</c:v>
                </c:pt>
                <c:pt idx="11">
                  <c:v>-60</c:v>
                </c:pt>
                <c:pt idx="12">
                  <c:v>-63</c:v>
                </c:pt>
                <c:pt idx="13">
                  <c:v>-63</c:v>
                </c:pt>
                <c:pt idx="14">
                  <c:v>-73</c:v>
                </c:pt>
                <c:pt idx="15">
                  <c:v>-76</c:v>
                </c:pt>
                <c:pt idx="16">
                  <c:v>-78</c:v>
                </c:pt>
                <c:pt idx="17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F2-4A21-B830-681F2292C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55296"/>
        <c:axId val="1995114208"/>
      </c:scatterChart>
      <c:valAx>
        <c:axId val="384855296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114208"/>
        <c:crossesAt val="-100"/>
        <c:crossBetween val="midCat"/>
        <c:majorUnit val="5"/>
      </c:valAx>
      <c:valAx>
        <c:axId val="199511420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8552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E10km!$Q$2:$Q$19</c:f>
              <c:numCache>
                <c:formatCode>0.000000</c:formatCode>
                <c:ptCount val="18"/>
                <c:pt idx="0">
                  <c:v>51.804672979904822</c:v>
                </c:pt>
                <c:pt idx="1">
                  <c:v>47.111330781788766</c:v>
                </c:pt>
                <c:pt idx="2">
                  <c:v>47.111330781788766</c:v>
                </c:pt>
                <c:pt idx="3">
                  <c:v>40.075243571274129</c:v>
                </c:pt>
                <c:pt idx="4">
                  <c:v>35.388052654569897</c:v>
                </c:pt>
                <c:pt idx="5">
                  <c:v>28.366389401819173</c:v>
                </c:pt>
                <c:pt idx="6">
                  <c:v>23.695695433879063</c:v>
                </c:pt>
                <c:pt idx="7">
                  <c:v>19.040141841103623</c:v>
                </c:pt>
                <c:pt idx="8">
                  <c:v>14.279671494553391</c:v>
                </c:pt>
                <c:pt idx="9">
                  <c:v>7.3961700786524176</c:v>
                </c:pt>
                <c:pt idx="10">
                  <c:v>2.969195987687816</c:v>
                </c:pt>
                <c:pt idx="11">
                  <c:v>2.969195987687816</c:v>
                </c:pt>
                <c:pt idx="12">
                  <c:v>5.5605455891810838</c:v>
                </c:pt>
                <c:pt idx="13">
                  <c:v>5.5605455891810838</c:v>
                </c:pt>
                <c:pt idx="14">
                  <c:v>9.8610003292168926</c:v>
                </c:pt>
                <c:pt idx="15">
                  <c:v>14.414406180060945</c:v>
                </c:pt>
                <c:pt idx="16">
                  <c:v>21.365353913416179</c:v>
                </c:pt>
                <c:pt idx="17">
                  <c:v>21.365353913416179</c:v>
                </c:pt>
              </c:numCache>
            </c:numRef>
          </c:xVal>
          <c:yVal>
            <c:numRef>
              <c:f>E10km!$G$2:$G$19</c:f>
              <c:numCache>
                <c:formatCode>General</c:formatCode>
                <c:ptCount val="18"/>
                <c:pt idx="0">
                  <c:v>-67</c:v>
                </c:pt>
                <c:pt idx="1">
                  <c:v>-66</c:v>
                </c:pt>
                <c:pt idx="2">
                  <c:v>-66</c:v>
                </c:pt>
                <c:pt idx="3">
                  <c:v>-64</c:v>
                </c:pt>
                <c:pt idx="4">
                  <c:v>-61</c:v>
                </c:pt>
                <c:pt idx="5">
                  <c:v>-59</c:v>
                </c:pt>
                <c:pt idx="6">
                  <c:v>-58</c:v>
                </c:pt>
                <c:pt idx="7">
                  <c:v>-54</c:v>
                </c:pt>
                <c:pt idx="8">
                  <c:v>-48</c:v>
                </c:pt>
                <c:pt idx="9">
                  <c:v>-46</c:v>
                </c:pt>
                <c:pt idx="10">
                  <c:v>-60</c:v>
                </c:pt>
                <c:pt idx="11">
                  <c:v>-60</c:v>
                </c:pt>
                <c:pt idx="12">
                  <c:v>-63</c:v>
                </c:pt>
                <c:pt idx="13">
                  <c:v>-63</c:v>
                </c:pt>
                <c:pt idx="14">
                  <c:v>-73</c:v>
                </c:pt>
                <c:pt idx="15">
                  <c:v>-76</c:v>
                </c:pt>
                <c:pt idx="16">
                  <c:v>-78</c:v>
                </c:pt>
                <c:pt idx="17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B-4799-BA47-392FB4442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67696"/>
        <c:axId val="1995111296"/>
      </c:scatterChart>
      <c:valAx>
        <c:axId val="3848676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111296"/>
        <c:crossesAt val="-100"/>
        <c:crossBetween val="midCat"/>
        <c:majorUnit val="5"/>
      </c:valAx>
      <c:valAx>
        <c:axId val="199511129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8676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F20km!$E$1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F20km!$A$2:$A$17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57.5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</c:numCache>
            </c:numRef>
          </c:xVal>
          <c:yVal>
            <c:numRef>
              <c:f>F20km!$E$2:$E$17</c:f>
              <c:numCache>
                <c:formatCode>0.0000</c:formatCode>
                <c:ptCount val="16"/>
                <c:pt idx="0">
                  <c:v>16.297600000000003</c:v>
                </c:pt>
                <c:pt idx="1">
                  <c:v>18.8904</c:v>
                </c:pt>
                <c:pt idx="2">
                  <c:v>20.186800000000002</c:v>
                </c:pt>
                <c:pt idx="3">
                  <c:v>20.7424</c:v>
                </c:pt>
                <c:pt idx="4">
                  <c:v>20.7424</c:v>
                </c:pt>
                <c:pt idx="5">
                  <c:v>20.7424</c:v>
                </c:pt>
                <c:pt idx="6">
                  <c:v>20.372</c:v>
                </c:pt>
                <c:pt idx="7">
                  <c:v>18.8904</c:v>
                </c:pt>
                <c:pt idx="8">
                  <c:v>18.8904</c:v>
                </c:pt>
                <c:pt idx="9">
                  <c:v>18.8904</c:v>
                </c:pt>
                <c:pt idx="10">
                  <c:v>18.8904</c:v>
                </c:pt>
                <c:pt idx="11">
                  <c:v>18.8904</c:v>
                </c:pt>
                <c:pt idx="12">
                  <c:v>18.8904</c:v>
                </c:pt>
                <c:pt idx="13">
                  <c:v>18.705200000000001</c:v>
                </c:pt>
                <c:pt idx="14">
                  <c:v>17.779199999999999</c:v>
                </c:pt>
                <c:pt idx="15">
                  <c:v>17.779199999999999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CF-405A-9333-39DCC7A02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67696"/>
        <c:axId val="153934848"/>
      </c:scatterChart>
      <c:valAx>
        <c:axId val="38486769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3934848"/>
        <c:crosses val="autoZero"/>
        <c:crossBetween val="midCat"/>
        <c:majorUnit val="5"/>
      </c:valAx>
      <c:valAx>
        <c:axId val="1539348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8676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F20km!$Q$1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F20km!$A$2:$A$17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57.5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</c:numCache>
            </c:numRef>
          </c:xVal>
          <c:yVal>
            <c:numRef>
              <c:f>F20km!$Q$2:$Q$17</c:f>
              <c:numCache>
                <c:formatCode>0.000000</c:formatCode>
                <c:ptCount val="16"/>
                <c:pt idx="0">
                  <c:v>47.041103244580661</c:v>
                </c:pt>
                <c:pt idx="1">
                  <c:v>42.34188065745262</c:v>
                </c:pt>
                <c:pt idx="2">
                  <c:v>37.679908142531694</c:v>
                </c:pt>
                <c:pt idx="3">
                  <c:v>30.597506734143469</c:v>
                </c:pt>
                <c:pt idx="4">
                  <c:v>30.597506734143469</c:v>
                </c:pt>
                <c:pt idx="5">
                  <c:v>23.555761257689049</c:v>
                </c:pt>
                <c:pt idx="6">
                  <c:v>18.865707189440347</c:v>
                </c:pt>
                <c:pt idx="7">
                  <c:v>14.183194700909587</c:v>
                </c:pt>
                <c:pt idx="8">
                  <c:v>7.2081430162853817</c:v>
                </c:pt>
                <c:pt idx="9">
                  <c:v>5.2021738381375418</c:v>
                </c:pt>
                <c:pt idx="10">
                  <c:v>5.2021738381375418</c:v>
                </c:pt>
                <c:pt idx="11">
                  <c:v>2.2248679273538512</c:v>
                </c:pt>
                <c:pt idx="12">
                  <c:v>7.2068897538983716</c:v>
                </c:pt>
                <c:pt idx="13">
                  <c:v>9.6634503616773682</c:v>
                </c:pt>
                <c:pt idx="14">
                  <c:v>14.279671494553391</c:v>
                </c:pt>
                <c:pt idx="15">
                  <c:v>21.274898195746761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8A-4E17-BC1E-81FDF8390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67696"/>
        <c:axId val="153935264"/>
      </c:scatterChart>
      <c:valAx>
        <c:axId val="38486769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3935264"/>
        <c:crosses val="autoZero"/>
        <c:crossBetween val="midCat"/>
        <c:majorUnit val="5"/>
      </c:valAx>
      <c:valAx>
        <c:axId val="15393526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8676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F20km!$A$2:$A$17</c:f>
              <c:numCache>
                <c:formatCode>General</c:formatCode>
                <c:ptCount val="16"/>
                <c:pt idx="0">
                  <c:v>2.5</c:v>
                </c:pt>
                <c:pt idx="1">
                  <c:v>7.5</c:v>
                </c:pt>
                <c:pt idx="2">
                  <c:v>17.5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42.5</c:v>
                </c:pt>
                <c:pt idx="10">
                  <c:v>47.5</c:v>
                </c:pt>
                <c:pt idx="11">
                  <c:v>52.5</c:v>
                </c:pt>
                <c:pt idx="12">
                  <c:v>57.5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</c:numCache>
            </c:numRef>
          </c:xVal>
          <c:yVal>
            <c:numRef>
              <c:f>F20km!$G$2:$G$17</c:f>
              <c:numCache>
                <c:formatCode>General</c:formatCode>
                <c:ptCount val="16"/>
                <c:pt idx="0">
                  <c:v>-67</c:v>
                </c:pt>
                <c:pt idx="1">
                  <c:v>-64</c:v>
                </c:pt>
                <c:pt idx="2">
                  <c:v>-61</c:v>
                </c:pt>
                <c:pt idx="3">
                  <c:v>-58</c:v>
                </c:pt>
                <c:pt idx="4">
                  <c:v>-58</c:v>
                </c:pt>
                <c:pt idx="5">
                  <c:v>-57</c:v>
                </c:pt>
                <c:pt idx="6">
                  <c:v>-59</c:v>
                </c:pt>
                <c:pt idx="7">
                  <c:v>-58</c:v>
                </c:pt>
                <c:pt idx="8">
                  <c:v>-45</c:v>
                </c:pt>
                <c:pt idx="9">
                  <c:v>-37</c:v>
                </c:pt>
                <c:pt idx="10">
                  <c:v>-37</c:v>
                </c:pt>
                <c:pt idx="11">
                  <c:v>-68</c:v>
                </c:pt>
                <c:pt idx="12">
                  <c:v>-68</c:v>
                </c:pt>
                <c:pt idx="13">
                  <c:v>-71</c:v>
                </c:pt>
                <c:pt idx="14">
                  <c:v>-75</c:v>
                </c:pt>
                <c:pt idx="15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1-4554-A6D5-201A709DD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67696"/>
        <c:axId val="153932352"/>
      </c:scatterChart>
      <c:valAx>
        <c:axId val="38486769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3932352"/>
        <c:crossesAt val="-100"/>
        <c:crossBetween val="midCat"/>
        <c:majorUnit val="5"/>
      </c:valAx>
      <c:valAx>
        <c:axId val="15393235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48676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F20km!$E$2:$E$17</c:f>
              <c:numCache>
                <c:formatCode>0.0000</c:formatCode>
                <c:ptCount val="16"/>
                <c:pt idx="0">
                  <c:v>16.297600000000003</c:v>
                </c:pt>
                <c:pt idx="1">
                  <c:v>18.8904</c:v>
                </c:pt>
                <c:pt idx="2">
                  <c:v>20.186800000000002</c:v>
                </c:pt>
                <c:pt idx="3">
                  <c:v>20.7424</c:v>
                </c:pt>
                <c:pt idx="4">
                  <c:v>20.7424</c:v>
                </c:pt>
                <c:pt idx="5">
                  <c:v>20.7424</c:v>
                </c:pt>
                <c:pt idx="6">
                  <c:v>20.372</c:v>
                </c:pt>
                <c:pt idx="7">
                  <c:v>18.8904</c:v>
                </c:pt>
                <c:pt idx="8">
                  <c:v>18.8904</c:v>
                </c:pt>
                <c:pt idx="9">
                  <c:v>18.8904</c:v>
                </c:pt>
                <c:pt idx="10">
                  <c:v>18.8904</c:v>
                </c:pt>
                <c:pt idx="11">
                  <c:v>18.8904</c:v>
                </c:pt>
                <c:pt idx="12">
                  <c:v>18.8904</c:v>
                </c:pt>
                <c:pt idx="13">
                  <c:v>18.705200000000001</c:v>
                </c:pt>
                <c:pt idx="14">
                  <c:v>17.779199999999999</c:v>
                </c:pt>
                <c:pt idx="15">
                  <c:v>17.779199999999999</c:v>
                </c:pt>
              </c:numCache>
            </c:numRef>
          </c:xVal>
          <c:yVal>
            <c:numRef>
              <c:f>F20km!$G$2:$G$17</c:f>
              <c:numCache>
                <c:formatCode>General</c:formatCode>
                <c:ptCount val="16"/>
                <c:pt idx="0">
                  <c:v>-67</c:v>
                </c:pt>
                <c:pt idx="1">
                  <c:v>-64</c:v>
                </c:pt>
                <c:pt idx="2">
                  <c:v>-61</c:v>
                </c:pt>
                <c:pt idx="3">
                  <c:v>-58</c:v>
                </c:pt>
                <c:pt idx="4">
                  <c:v>-58</c:v>
                </c:pt>
                <c:pt idx="5">
                  <c:v>-57</c:v>
                </c:pt>
                <c:pt idx="6">
                  <c:v>-59</c:v>
                </c:pt>
                <c:pt idx="7">
                  <c:v>-58</c:v>
                </c:pt>
                <c:pt idx="8">
                  <c:v>-45</c:v>
                </c:pt>
                <c:pt idx="9">
                  <c:v>-37</c:v>
                </c:pt>
                <c:pt idx="10">
                  <c:v>-37</c:v>
                </c:pt>
                <c:pt idx="11">
                  <c:v>-68</c:v>
                </c:pt>
                <c:pt idx="12">
                  <c:v>-68</c:v>
                </c:pt>
                <c:pt idx="13">
                  <c:v>-71</c:v>
                </c:pt>
                <c:pt idx="14">
                  <c:v>-75</c:v>
                </c:pt>
                <c:pt idx="15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4-4D0D-91B4-42E6E41D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52080"/>
        <c:axId val="153933184"/>
      </c:scatterChart>
      <c:valAx>
        <c:axId val="371852080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3933184"/>
        <c:crossesAt val="-100"/>
        <c:crossBetween val="midCat"/>
        <c:majorUnit val="5"/>
      </c:valAx>
      <c:valAx>
        <c:axId val="153933184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520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F20km!$Q$2:$Q$17</c:f>
              <c:numCache>
                <c:formatCode>0.000000</c:formatCode>
                <c:ptCount val="16"/>
                <c:pt idx="0">
                  <c:v>47.041103244580661</c:v>
                </c:pt>
                <c:pt idx="1">
                  <c:v>42.34188065745262</c:v>
                </c:pt>
                <c:pt idx="2">
                  <c:v>37.679908142531694</c:v>
                </c:pt>
                <c:pt idx="3">
                  <c:v>30.597506734143469</c:v>
                </c:pt>
                <c:pt idx="4">
                  <c:v>30.597506734143469</c:v>
                </c:pt>
                <c:pt idx="5">
                  <c:v>23.555761257689049</c:v>
                </c:pt>
                <c:pt idx="6">
                  <c:v>18.865707189440347</c:v>
                </c:pt>
                <c:pt idx="7">
                  <c:v>14.183194700909587</c:v>
                </c:pt>
                <c:pt idx="8">
                  <c:v>7.2081430162853817</c:v>
                </c:pt>
                <c:pt idx="9">
                  <c:v>5.2021738381375418</c:v>
                </c:pt>
                <c:pt idx="10">
                  <c:v>5.2021738381375418</c:v>
                </c:pt>
                <c:pt idx="11">
                  <c:v>2.2248679273538512</c:v>
                </c:pt>
                <c:pt idx="12">
                  <c:v>7.2068897538983716</c:v>
                </c:pt>
                <c:pt idx="13">
                  <c:v>9.6634503616773682</c:v>
                </c:pt>
                <c:pt idx="14">
                  <c:v>14.279671494553391</c:v>
                </c:pt>
                <c:pt idx="15">
                  <c:v>21.274898195746761</c:v>
                </c:pt>
              </c:numCache>
            </c:numRef>
          </c:xVal>
          <c:yVal>
            <c:numRef>
              <c:f>F20km!$G$2:$G$17</c:f>
              <c:numCache>
                <c:formatCode>General</c:formatCode>
                <c:ptCount val="16"/>
                <c:pt idx="0">
                  <c:v>-67</c:v>
                </c:pt>
                <c:pt idx="1">
                  <c:v>-64</c:v>
                </c:pt>
                <c:pt idx="2">
                  <c:v>-61</c:v>
                </c:pt>
                <c:pt idx="3">
                  <c:v>-58</c:v>
                </c:pt>
                <c:pt idx="4">
                  <c:v>-58</c:v>
                </c:pt>
                <c:pt idx="5">
                  <c:v>-57</c:v>
                </c:pt>
                <c:pt idx="6">
                  <c:v>-59</c:v>
                </c:pt>
                <c:pt idx="7">
                  <c:v>-58</c:v>
                </c:pt>
                <c:pt idx="8">
                  <c:v>-45</c:v>
                </c:pt>
                <c:pt idx="9">
                  <c:v>-37</c:v>
                </c:pt>
                <c:pt idx="10">
                  <c:v>-37</c:v>
                </c:pt>
                <c:pt idx="11">
                  <c:v>-68</c:v>
                </c:pt>
                <c:pt idx="12">
                  <c:v>-68</c:v>
                </c:pt>
                <c:pt idx="13">
                  <c:v>-71</c:v>
                </c:pt>
                <c:pt idx="14">
                  <c:v>-75</c:v>
                </c:pt>
                <c:pt idx="15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D-4323-8AEE-446F2529D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72080"/>
        <c:axId val="382191456"/>
      </c:scatterChart>
      <c:valAx>
        <c:axId val="3718720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91456"/>
        <c:crossesAt val="-100"/>
        <c:crossBetween val="midCat"/>
        <c:majorUnit val="5"/>
      </c:valAx>
      <c:valAx>
        <c:axId val="38219145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720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G40km!$E$1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G40km!$A$2:$A$12</c:f>
              <c:numCache>
                <c:formatCode>General</c:formatCode>
                <c:ptCount val="11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52.5</c:v>
                </c:pt>
                <c:pt idx="10">
                  <c:v>57.5</c:v>
                </c:pt>
              </c:numCache>
            </c:numRef>
          </c:xVal>
          <c:yVal>
            <c:numRef>
              <c:f>G40km!$E$2:$E$12</c:f>
              <c:numCache>
                <c:formatCode>0.0000</c:formatCode>
                <c:ptCount val="11"/>
                <c:pt idx="0">
                  <c:v>28.706000000000003</c:v>
                </c:pt>
                <c:pt idx="1">
                  <c:v>32.224800000000002</c:v>
                </c:pt>
                <c:pt idx="2">
                  <c:v>34.076799999999999</c:v>
                </c:pt>
                <c:pt idx="3">
                  <c:v>34.076799999999999</c:v>
                </c:pt>
                <c:pt idx="4">
                  <c:v>36.669600000000003</c:v>
                </c:pt>
                <c:pt idx="5">
                  <c:v>36.669600000000003</c:v>
                </c:pt>
                <c:pt idx="6">
                  <c:v>40.188400000000001</c:v>
                </c:pt>
                <c:pt idx="7">
                  <c:v>40.188400000000001</c:v>
                </c:pt>
                <c:pt idx="8">
                  <c:v>42.596000000000004</c:v>
                </c:pt>
                <c:pt idx="9">
                  <c:v>42.596000000000004</c:v>
                </c:pt>
                <c:pt idx="10">
                  <c:v>42.596000000000004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DB-47C6-BE5B-980A61C88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379600"/>
        <c:axId val="1994319056"/>
      </c:scatterChart>
      <c:valAx>
        <c:axId val="184037960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319056"/>
        <c:crosses val="autoZero"/>
        <c:crossBetween val="midCat"/>
        <c:majorUnit val="5"/>
      </c:valAx>
      <c:valAx>
        <c:axId val="19943190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4037960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G40km!$Q$1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G40km!$A$2:$A$12</c:f>
              <c:numCache>
                <c:formatCode>General</c:formatCode>
                <c:ptCount val="11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52.5</c:v>
                </c:pt>
                <c:pt idx="10">
                  <c:v>57.5</c:v>
                </c:pt>
              </c:numCache>
            </c:numRef>
          </c:xVal>
          <c:yVal>
            <c:numRef>
              <c:f>G40km!$Q$2:$Q$12</c:f>
              <c:numCache>
                <c:formatCode>0.000000</c:formatCode>
                <c:ptCount val="11"/>
                <c:pt idx="0">
                  <c:v>49.368532793187129</c:v>
                </c:pt>
                <c:pt idx="1">
                  <c:v>42.322462913713508</c:v>
                </c:pt>
                <c:pt idx="2">
                  <c:v>37.621369130078975</c:v>
                </c:pt>
                <c:pt idx="3">
                  <c:v>37.621369130078975</c:v>
                </c:pt>
                <c:pt idx="4">
                  <c:v>28.249600953647974</c:v>
                </c:pt>
                <c:pt idx="5">
                  <c:v>28.249600953647974</c:v>
                </c:pt>
                <c:pt idx="6">
                  <c:v>16.523038945254488</c:v>
                </c:pt>
                <c:pt idx="7">
                  <c:v>16.523038945254488</c:v>
                </c:pt>
                <c:pt idx="8">
                  <c:v>7.3961700786524176</c:v>
                </c:pt>
                <c:pt idx="9">
                  <c:v>5.5605455891810838</c:v>
                </c:pt>
                <c:pt idx="10">
                  <c:v>5.5605455891810838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36-498B-81FB-D13D874EA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659632"/>
        <c:axId val="1994321136"/>
      </c:scatterChart>
      <c:valAx>
        <c:axId val="1998659632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321136"/>
        <c:crosses val="autoZero"/>
        <c:crossBetween val="midCat"/>
        <c:majorUnit val="5"/>
      </c:valAx>
      <c:valAx>
        <c:axId val="199432113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65963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G40km!$G$1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G40km!$A$2:$A$12</c:f>
              <c:numCache>
                <c:formatCode>General</c:formatCode>
                <c:ptCount val="11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52.5</c:v>
                </c:pt>
                <c:pt idx="10">
                  <c:v>57.5</c:v>
                </c:pt>
              </c:numCache>
            </c:numRef>
          </c:xVal>
          <c:yVal>
            <c:numRef>
              <c:f>G40km!$G$2:$G$12</c:f>
              <c:numCache>
                <c:formatCode>General</c:formatCode>
                <c:ptCount val="11"/>
                <c:pt idx="0">
                  <c:v>-60</c:v>
                </c:pt>
                <c:pt idx="1">
                  <c:v>-59</c:v>
                </c:pt>
                <c:pt idx="2">
                  <c:v>-55</c:v>
                </c:pt>
                <c:pt idx="3">
                  <c:v>-55</c:v>
                </c:pt>
                <c:pt idx="4">
                  <c:v>-54</c:v>
                </c:pt>
                <c:pt idx="5">
                  <c:v>-54</c:v>
                </c:pt>
                <c:pt idx="6">
                  <c:v>-78</c:v>
                </c:pt>
                <c:pt idx="7">
                  <c:v>-78</c:v>
                </c:pt>
                <c:pt idx="8">
                  <c:v>-84</c:v>
                </c:pt>
                <c:pt idx="9">
                  <c:v>-88</c:v>
                </c:pt>
                <c:pt idx="10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F-48F7-8836-83B4154B8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00496"/>
        <c:axId val="1994318640"/>
      </c:scatterChart>
      <c:valAx>
        <c:axId val="15010049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318640"/>
        <c:crossesAt val="-100"/>
        <c:crossBetween val="midCat"/>
        <c:majorUnit val="5"/>
      </c:valAx>
      <c:valAx>
        <c:axId val="199431864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010049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G40km!$G$1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G40km!$E$2:$E$12</c:f>
              <c:numCache>
                <c:formatCode>0.0000</c:formatCode>
                <c:ptCount val="11"/>
                <c:pt idx="0">
                  <c:v>28.706000000000003</c:v>
                </c:pt>
                <c:pt idx="1">
                  <c:v>32.224800000000002</c:v>
                </c:pt>
                <c:pt idx="2">
                  <c:v>34.076799999999999</c:v>
                </c:pt>
                <c:pt idx="3">
                  <c:v>34.076799999999999</c:v>
                </c:pt>
                <c:pt idx="4">
                  <c:v>36.669600000000003</c:v>
                </c:pt>
                <c:pt idx="5">
                  <c:v>36.669600000000003</c:v>
                </c:pt>
                <c:pt idx="6">
                  <c:v>40.188400000000001</c:v>
                </c:pt>
                <c:pt idx="7">
                  <c:v>40.188400000000001</c:v>
                </c:pt>
                <c:pt idx="8">
                  <c:v>42.596000000000004</c:v>
                </c:pt>
                <c:pt idx="9">
                  <c:v>42.596000000000004</c:v>
                </c:pt>
                <c:pt idx="10">
                  <c:v>42.596000000000004</c:v>
                </c:pt>
              </c:numCache>
            </c:numRef>
          </c:xVal>
          <c:yVal>
            <c:numRef>
              <c:f>G40km!$G$2:$G$12</c:f>
              <c:numCache>
                <c:formatCode>General</c:formatCode>
                <c:ptCount val="11"/>
                <c:pt idx="0">
                  <c:v>-60</c:v>
                </c:pt>
                <c:pt idx="1">
                  <c:v>-59</c:v>
                </c:pt>
                <c:pt idx="2">
                  <c:v>-55</c:v>
                </c:pt>
                <c:pt idx="3">
                  <c:v>-55</c:v>
                </c:pt>
                <c:pt idx="4">
                  <c:v>-54</c:v>
                </c:pt>
                <c:pt idx="5">
                  <c:v>-54</c:v>
                </c:pt>
                <c:pt idx="6">
                  <c:v>-78</c:v>
                </c:pt>
                <c:pt idx="7">
                  <c:v>-78</c:v>
                </c:pt>
                <c:pt idx="8">
                  <c:v>-84</c:v>
                </c:pt>
                <c:pt idx="9">
                  <c:v>-88</c:v>
                </c:pt>
                <c:pt idx="10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D-4728-88C9-AB466645B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03936"/>
        <c:axId val="1495048192"/>
      </c:scatterChart>
      <c:valAx>
        <c:axId val="149003936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048192"/>
        <c:crossesAt val="-100"/>
        <c:crossBetween val="midCat"/>
        <c:majorUnit val="5"/>
      </c:valAx>
      <c:valAx>
        <c:axId val="149504819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0039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G40km!$G$1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G40km!$Q$2:$Q$12</c:f>
              <c:numCache>
                <c:formatCode>0.000000</c:formatCode>
                <c:ptCount val="11"/>
                <c:pt idx="0">
                  <c:v>49.368532793187129</c:v>
                </c:pt>
                <c:pt idx="1">
                  <c:v>42.322462913713508</c:v>
                </c:pt>
                <c:pt idx="2">
                  <c:v>37.621369130078975</c:v>
                </c:pt>
                <c:pt idx="3">
                  <c:v>37.621369130078975</c:v>
                </c:pt>
                <c:pt idx="4">
                  <c:v>28.249600953647974</c:v>
                </c:pt>
                <c:pt idx="5">
                  <c:v>28.249600953647974</c:v>
                </c:pt>
                <c:pt idx="6">
                  <c:v>16.523038945254488</c:v>
                </c:pt>
                <c:pt idx="7">
                  <c:v>16.523038945254488</c:v>
                </c:pt>
                <c:pt idx="8">
                  <c:v>7.3961700786524176</c:v>
                </c:pt>
                <c:pt idx="9">
                  <c:v>5.5605455891810838</c:v>
                </c:pt>
                <c:pt idx="10">
                  <c:v>5.5605455891810838</c:v>
                </c:pt>
              </c:numCache>
            </c:numRef>
          </c:xVal>
          <c:yVal>
            <c:numRef>
              <c:f>G40km!$G$2:$G$12</c:f>
              <c:numCache>
                <c:formatCode>General</c:formatCode>
                <c:ptCount val="11"/>
                <c:pt idx="0">
                  <c:v>-60</c:v>
                </c:pt>
                <c:pt idx="1">
                  <c:v>-59</c:v>
                </c:pt>
                <c:pt idx="2">
                  <c:v>-55</c:v>
                </c:pt>
                <c:pt idx="3">
                  <c:v>-55</c:v>
                </c:pt>
                <c:pt idx="4">
                  <c:v>-54</c:v>
                </c:pt>
                <c:pt idx="5">
                  <c:v>-54</c:v>
                </c:pt>
                <c:pt idx="6">
                  <c:v>-78</c:v>
                </c:pt>
                <c:pt idx="7">
                  <c:v>-78</c:v>
                </c:pt>
                <c:pt idx="8">
                  <c:v>-84</c:v>
                </c:pt>
                <c:pt idx="9">
                  <c:v>-88</c:v>
                </c:pt>
                <c:pt idx="10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103-B862-CA013A451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9904"/>
        <c:axId val="1495050272"/>
      </c:scatterChart>
      <c:valAx>
        <c:axId val="3827299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050272"/>
        <c:crossesAt val="-100"/>
        <c:crossBetween val="midCat"/>
        <c:majorUnit val="5"/>
      </c:valAx>
      <c:valAx>
        <c:axId val="149505027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72990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H10km!$E$1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H10km!$A$2:$A$20</c:f>
              <c:numCache>
                <c:formatCode>General</c:formatCode>
                <c:ptCount val="19"/>
                <c:pt idx="0">
                  <c:v>7.5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22.5</c:v>
                </c:pt>
                <c:pt idx="6">
                  <c:v>27.5</c:v>
                </c:pt>
                <c:pt idx="7">
                  <c:v>27.5</c:v>
                </c:pt>
                <c:pt idx="8">
                  <c:v>32.5</c:v>
                </c:pt>
                <c:pt idx="9">
                  <c:v>37.5</c:v>
                </c:pt>
                <c:pt idx="10">
                  <c:v>37.5</c:v>
                </c:pt>
                <c:pt idx="11">
                  <c:v>42.5</c:v>
                </c:pt>
                <c:pt idx="12">
                  <c:v>62.5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  <c:pt idx="18">
                  <c:v>72.5</c:v>
                </c:pt>
              </c:numCache>
            </c:numRef>
          </c:xVal>
          <c:yVal>
            <c:numRef>
              <c:f>H10km!$E$2:$E$20</c:f>
              <c:numCache>
                <c:formatCode>0.0000</c:formatCode>
                <c:ptCount val="19"/>
                <c:pt idx="0">
                  <c:v>13.704800000000001</c:v>
                </c:pt>
                <c:pt idx="1">
                  <c:v>13.704800000000001</c:v>
                </c:pt>
                <c:pt idx="2">
                  <c:v>12.964</c:v>
                </c:pt>
                <c:pt idx="3">
                  <c:v>12.5936</c:v>
                </c:pt>
                <c:pt idx="4">
                  <c:v>12.778800000000002</c:v>
                </c:pt>
                <c:pt idx="5">
                  <c:v>12.778800000000002</c:v>
                </c:pt>
                <c:pt idx="6">
                  <c:v>12.778800000000002</c:v>
                </c:pt>
                <c:pt idx="7">
                  <c:v>12.964</c:v>
                </c:pt>
                <c:pt idx="8">
                  <c:v>12.964</c:v>
                </c:pt>
                <c:pt idx="9">
                  <c:v>13.1492</c:v>
                </c:pt>
                <c:pt idx="10">
                  <c:v>13.1492</c:v>
                </c:pt>
                <c:pt idx="11">
                  <c:v>13.1492</c:v>
                </c:pt>
                <c:pt idx="12">
                  <c:v>12.4084</c:v>
                </c:pt>
                <c:pt idx="13">
                  <c:v>12.4084</c:v>
                </c:pt>
                <c:pt idx="14">
                  <c:v>12.4084</c:v>
                </c:pt>
                <c:pt idx="15">
                  <c:v>12.4084</c:v>
                </c:pt>
                <c:pt idx="16">
                  <c:v>12.4084</c:v>
                </c:pt>
                <c:pt idx="17">
                  <c:v>12.4084</c:v>
                </c:pt>
                <c:pt idx="18">
                  <c:v>12.4084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8A-45AB-8EBC-85FF74B68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94352"/>
        <c:axId val="1495049024"/>
      </c:scatterChart>
      <c:valAx>
        <c:axId val="382794352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049024"/>
        <c:crosses val="autoZero"/>
        <c:crossBetween val="midCat"/>
        <c:majorUnit val="5"/>
      </c:valAx>
      <c:valAx>
        <c:axId val="14950490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79435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H10km!$Q$1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H10km!$A$2:$A$20</c:f>
              <c:numCache>
                <c:formatCode>General</c:formatCode>
                <c:ptCount val="19"/>
                <c:pt idx="0">
                  <c:v>7.5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22.5</c:v>
                </c:pt>
                <c:pt idx="6">
                  <c:v>27.5</c:v>
                </c:pt>
                <c:pt idx="7">
                  <c:v>27.5</c:v>
                </c:pt>
                <c:pt idx="8">
                  <c:v>32.5</c:v>
                </c:pt>
                <c:pt idx="9">
                  <c:v>37.5</c:v>
                </c:pt>
                <c:pt idx="10">
                  <c:v>37.5</c:v>
                </c:pt>
                <c:pt idx="11">
                  <c:v>42.5</c:v>
                </c:pt>
                <c:pt idx="12">
                  <c:v>62.5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  <c:pt idx="18">
                  <c:v>72.5</c:v>
                </c:pt>
              </c:numCache>
            </c:numRef>
          </c:xVal>
          <c:yVal>
            <c:numRef>
              <c:f>H10km!$Q$2:$Q$20</c:f>
              <c:numCache>
                <c:formatCode>0.000000</c:formatCode>
                <c:ptCount val="19"/>
                <c:pt idx="0">
                  <c:v>84.683921315008561</c:v>
                </c:pt>
                <c:pt idx="1">
                  <c:v>79.98521206484989</c:v>
                </c:pt>
                <c:pt idx="2">
                  <c:v>77.635995993181098</c:v>
                </c:pt>
                <c:pt idx="3">
                  <c:v>72.911378166597132</c:v>
                </c:pt>
                <c:pt idx="4">
                  <c:v>70.561622862176762</c:v>
                </c:pt>
                <c:pt idx="5">
                  <c:v>65.841571881765304</c:v>
                </c:pt>
                <c:pt idx="6">
                  <c:v>65.841571881765304</c:v>
                </c:pt>
                <c:pt idx="7">
                  <c:v>65.841571881765304</c:v>
                </c:pt>
                <c:pt idx="8">
                  <c:v>61.127519083955576</c:v>
                </c:pt>
                <c:pt idx="9">
                  <c:v>56.426170924006087</c:v>
                </c:pt>
                <c:pt idx="10">
                  <c:v>54.075440220287085</c:v>
                </c:pt>
                <c:pt idx="11">
                  <c:v>54.075440220287085</c:v>
                </c:pt>
                <c:pt idx="12">
                  <c:v>7.0919157807694786</c:v>
                </c:pt>
                <c:pt idx="13">
                  <c:v>11.777880629552641</c:v>
                </c:pt>
                <c:pt idx="14">
                  <c:v>11.777880629552641</c:v>
                </c:pt>
                <c:pt idx="15">
                  <c:v>16.47294122418981</c:v>
                </c:pt>
                <c:pt idx="16">
                  <c:v>18.821845933244283</c:v>
                </c:pt>
                <c:pt idx="17">
                  <c:v>18.821845933244283</c:v>
                </c:pt>
                <c:pt idx="18">
                  <c:v>25.870364396652924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1-4CB5-B5C1-E30A3625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68016"/>
        <c:axId val="1495049856"/>
      </c:scatterChart>
      <c:valAx>
        <c:axId val="37166801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5049856"/>
        <c:crosses val="autoZero"/>
        <c:crossBetween val="midCat"/>
        <c:majorUnit val="5"/>
      </c:valAx>
      <c:valAx>
        <c:axId val="14950498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66801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H10km!$A$2:$A$20</c:f>
              <c:numCache>
                <c:formatCode>General</c:formatCode>
                <c:ptCount val="19"/>
                <c:pt idx="0">
                  <c:v>7.5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22.5</c:v>
                </c:pt>
                <c:pt idx="6">
                  <c:v>27.5</c:v>
                </c:pt>
                <c:pt idx="7">
                  <c:v>27.5</c:v>
                </c:pt>
                <c:pt idx="8">
                  <c:v>32.5</c:v>
                </c:pt>
                <c:pt idx="9">
                  <c:v>37.5</c:v>
                </c:pt>
                <c:pt idx="10">
                  <c:v>37.5</c:v>
                </c:pt>
                <c:pt idx="11">
                  <c:v>42.5</c:v>
                </c:pt>
                <c:pt idx="12">
                  <c:v>62.5</c:v>
                </c:pt>
                <c:pt idx="13">
                  <c:v>62.5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72.5</c:v>
                </c:pt>
                <c:pt idx="18">
                  <c:v>72.5</c:v>
                </c:pt>
              </c:numCache>
            </c:numRef>
          </c:xVal>
          <c:yVal>
            <c:numRef>
              <c:f>H10km!$G$2:$G$20</c:f>
              <c:numCache>
                <c:formatCode>General</c:formatCode>
                <c:ptCount val="19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-73</c:v>
                </c:pt>
                <c:pt idx="4">
                  <c:v>-73</c:v>
                </c:pt>
                <c:pt idx="5">
                  <c:v>-72</c:v>
                </c:pt>
                <c:pt idx="6">
                  <c:v>-72</c:v>
                </c:pt>
                <c:pt idx="7">
                  <c:v>-73</c:v>
                </c:pt>
                <c:pt idx="8">
                  <c:v>-72</c:v>
                </c:pt>
                <c:pt idx="9">
                  <c:v>-73</c:v>
                </c:pt>
                <c:pt idx="10">
                  <c:v>-76</c:v>
                </c:pt>
                <c:pt idx="11">
                  <c:v>-76</c:v>
                </c:pt>
                <c:pt idx="12">
                  <c:v>-70</c:v>
                </c:pt>
                <c:pt idx="13">
                  <c:v>-70</c:v>
                </c:pt>
                <c:pt idx="14">
                  <c:v>-70</c:v>
                </c:pt>
                <c:pt idx="15">
                  <c:v>-70</c:v>
                </c:pt>
                <c:pt idx="16">
                  <c:v>-70</c:v>
                </c:pt>
                <c:pt idx="17">
                  <c:v>-70</c:v>
                </c:pt>
                <c:pt idx="18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CA-4678-A930-0DB638179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14528"/>
        <c:axId val="380133568"/>
      </c:scatterChart>
      <c:valAx>
        <c:axId val="371714528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0133568"/>
        <c:crossesAt val="-100"/>
        <c:crossBetween val="midCat"/>
        <c:majorUnit val="5"/>
      </c:valAx>
      <c:valAx>
        <c:axId val="38013356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71452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H10km!$E$2:$E$20</c:f>
              <c:numCache>
                <c:formatCode>0.0000</c:formatCode>
                <c:ptCount val="19"/>
                <c:pt idx="0">
                  <c:v>13.704800000000001</c:v>
                </c:pt>
                <c:pt idx="1">
                  <c:v>13.704800000000001</c:v>
                </c:pt>
                <c:pt idx="2">
                  <c:v>12.964</c:v>
                </c:pt>
                <c:pt idx="3">
                  <c:v>12.5936</c:v>
                </c:pt>
                <c:pt idx="4">
                  <c:v>12.778800000000002</c:v>
                </c:pt>
                <c:pt idx="5">
                  <c:v>12.778800000000002</c:v>
                </c:pt>
                <c:pt idx="6">
                  <c:v>12.778800000000002</c:v>
                </c:pt>
                <c:pt idx="7">
                  <c:v>12.964</c:v>
                </c:pt>
                <c:pt idx="8">
                  <c:v>12.964</c:v>
                </c:pt>
                <c:pt idx="9">
                  <c:v>13.1492</c:v>
                </c:pt>
                <c:pt idx="10">
                  <c:v>13.1492</c:v>
                </c:pt>
                <c:pt idx="11">
                  <c:v>13.1492</c:v>
                </c:pt>
                <c:pt idx="12">
                  <c:v>12.4084</c:v>
                </c:pt>
                <c:pt idx="13">
                  <c:v>12.4084</c:v>
                </c:pt>
                <c:pt idx="14">
                  <c:v>12.4084</c:v>
                </c:pt>
                <c:pt idx="15">
                  <c:v>12.4084</c:v>
                </c:pt>
                <c:pt idx="16">
                  <c:v>12.4084</c:v>
                </c:pt>
                <c:pt idx="17">
                  <c:v>12.4084</c:v>
                </c:pt>
                <c:pt idx="18">
                  <c:v>12.4084</c:v>
                </c:pt>
              </c:numCache>
            </c:numRef>
          </c:xVal>
          <c:yVal>
            <c:numRef>
              <c:f>H10km!$G$2:$G$20</c:f>
              <c:numCache>
                <c:formatCode>General</c:formatCode>
                <c:ptCount val="19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-73</c:v>
                </c:pt>
                <c:pt idx="4">
                  <c:v>-73</c:v>
                </c:pt>
                <c:pt idx="5">
                  <c:v>-72</c:v>
                </c:pt>
                <c:pt idx="6">
                  <c:v>-72</c:v>
                </c:pt>
                <c:pt idx="7">
                  <c:v>-73</c:v>
                </c:pt>
                <c:pt idx="8">
                  <c:v>-72</c:v>
                </c:pt>
                <c:pt idx="9">
                  <c:v>-73</c:v>
                </c:pt>
                <c:pt idx="10">
                  <c:v>-76</c:v>
                </c:pt>
                <c:pt idx="11">
                  <c:v>-76</c:v>
                </c:pt>
                <c:pt idx="12">
                  <c:v>-70</c:v>
                </c:pt>
                <c:pt idx="13">
                  <c:v>-70</c:v>
                </c:pt>
                <c:pt idx="14">
                  <c:v>-70</c:v>
                </c:pt>
                <c:pt idx="15">
                  <c:v>-70</c:v>
                </c:pt>
                <c:pt idx="16">
                  <c:v>-70</c:v>
                </c:pt>
                <c:pt idx="17">
                  <c:v>-70</c:v>
                </c:pt>
                <c:pt idx="18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D-46F9-8376-9072E4981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327328"/>
        <c:axId val="380134400"/>
      </c:scatterChart>
      <c:valAx>
        <c:axId val="380327328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0134400"/>
        <c:crossesAt val="-100"/>
        <c:crossBetween val="midCat"/>
        <c:majorUnit val="5"/>
      </c:valAx>
      <c:valAx>
        <c:axId val="38013440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032732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H10km!$Q$2:$Q$20</c:f>
              <c:numCache>
                <c:formatCode>0.000000</c:formatCode>
                <c:ptCount val="19"/>
                <c:pt idx="0">
                  <c:v>84.683921315008561</c:v>
                </c:pt>
                <c:pt idx="1">
                  <c:v>79.98521206484989</c:v>
                </c:pt>
                <c:pt idx="2">
                  <c:v>77.635995993181098</c:v>
                </c:pt>
                <c:pt idx="3">
                  <c:v>72.911378166597132</c:v>
                </c:pt>
                <c:pt idx="4">
                  <c:v>70.561622862176762</c:v>
                </c:pt>
                <c:pt idx="5">
                  <c:v>65.841571881765304</c:v>
                </c:pt>
                <c:pt idx="6">
                  <c:v>65.841571881765304</c:v>
                </c:pt>
                <c:pt idx="7">
                  <c:v>65.841571881765304</c:v>
                </c:pt>
                <c:pt idx="8">
                  <c:v>61.127519083955576</c:v>
                </c:pt>
                <c:pt idx="9">
                  <c:v>56.426170924006087</c:v>
                </c:pt>
                <c:pt idx="10">
                  <c:v>54.075440220287085</c:v>
                </c:pt>
                <c:pt idx="11">
                  <c:v>54.075440220287085</c:v>
                </c:pt>
                <c:pt idx="12">
                  <c:v>7.0919157807694786</c:v>
                </c:pt>
                <c:pt idx="13">
                  <c:v>11.777880629552641</c:v>
                </c:pt>
                <c:pt idx="14">
                  <c:v>11.777880629552641</c:v>
                </c:pt>
                <c:pt idx="15">
                  <c:v>16.47294122418981</c:v>
                </c:pt>
                <c:pt idx="16">
                  <c:v>18.821845933244283</c:v>
                </c:pt>
                <c:pt idx="17">
                  <c:v>18.821845933244283</c:v>
                </c:pt>
                <c:pt idx="18">
                  <c:v>25.870364396652924</c:v>
                </c:pt>
              </c:numCache>
            </c:numRef>
          </c:xVal>
          <c:yVal>
            <c:numRef>
              <c:f>H10km!$G$2:$G$20</c:f>
              <c:numCache>
                <c:formatCode>General</c:formatCode>
                <c:ptCount val="19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-73</c:v>
                </c:pt>
                <c:pt idx="4">
                  <c:v>-73</c:v>
                </c:pt>
                <c:pt idx="5">
                  <c:v>-72</c:v>
                </c:pt>
                <c:pt idx="6">
                  <c:v>-72</c:v>
                </c:pt>
                <c:pt idx="7">
                  <c:v>-73</c:v>
                </c:pt>
                <c:pt idx="8">
                  <c:v>-72</c:v>
                </c:pt>
                <c:pt idx="9">
                  <c:v>-73</c:v>
                </c:pt>
                <c:pt idx="10">
                  <c:v>-76</c:v>
                </c:pt>
                <c:pt idx="11">
                  <c:v>-76</c:v>
                </c:pt>
                <c:pt idx="12">
                  <c:v>-70</c:v>
                </c:pt>
                <c:pt idx="13">
                  <c:v>-70</c:v>
                </c:pt>
                <c:pt idx="14">
                  <c:v>-70</c:v>
                </c:pt>
                <c:pt idx="15">
                  <c:v>-70</c:v>
                </c:pt>
                <c:pt idx="16">
                  <c:v>-70</c:v>
                </c:pt>
                <c:pt idx="17">
                  <c:v>-70</c:v>
                </c:pt>
                <c:pt idx="18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B-4692-BD72-EED5F611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86384"/>
        <c:axId val="380136480"/>
      </c:scatterChart>
      <c:valAx>
        <c:axId val="3804863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0136480"/>
        <c:crossesAt val="-100"/>
        <c:crossBetween val="midCat"/>
        <c:majorUnit val="5"/>
      </c:valAx>
      <c:valAx>
        <c:axId val="38013648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048638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I20km!$E$1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I20km!$A$2:$A$5</c:f>
              <c:numCache>
                <c:formatCode>General</c:formatCode>
                <c:ptCount val="4"/>
                <c:pt idx="0">
                  <c:v>12.5</c:v>
                </c:pt>
                <c:pt idx="1">
                  <c:v>17.5</c:v>
                </c:pt>
                <c:pt idx="2">
                  <c:v>37.5</c:v>
                </c:pt>
                <c:pt idx="3">
                  <c:v>57.5</c:v>
                </c:pt>
              </c:numCache>
            </c:numRef>
          </c:xVal>
          <c:yVal>
            <c:numRef>
              <c:f>I20km!$E$2:$E$5</c:f>
              <c:numCache>
                <c:formatCode>0.0000</c:formatCode>
                <c:ptCount val="4"/>
                <c:pt idx="0">
                  <c:v>22.038800000000002</c:v>
                </c:pt>
                <c:pt idx="1">
                  <c:v>22.409200000000002</c:v>
                </c:pt>
                <c:pt idx="2">
                  <c:v>23.520399999999999</c:v>
                </c:pt>
                <c:pt idx="3">
                  <c:v>23.150000000000002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A1-415E-BF43-8C7894D2E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64880"/>
        <c:axId val="382192704"/>
      </c:scatterChart>
      <c:valAx>
        <c:axId val="37186488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92704"/>
        <c:crosses val="autoZero"/>
        <c:crossBetween val="midCat"/>
        <c:majorUnit val="5"/>
      </c:valAx>
      <c:valAx>
        <c:axId val="3821927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64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I20km!$Q$1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I20km!$A$2:$A$5</c:f>
              <c:numCache>
                <c:formatCode>General</c:formatCode>
                <c:ptCount val="4"/>
                <c:pt idx="0">
                  <c:v>12.5</c:v>
                </c:pt>
                <c:pt idx="1">
                  <c:v>17.5</c:v>
                </c:pt>
                <c:pt idx="2">
                  <c:v>37.5</c:v>
                </c:pt>
                <c:pt idx="3">
                  <c:v>57.5</c:v>
                </c:pt>
              </c:numCache>
            </c:numRef>
          </c:xVal>
          <c:yVal>
            <c:numRef>
              <c:f>I20km!$Q$2:$Q$5</c:f>
              <c:numCache>
                <c:formatCode>0.000000</c:formatCode>
                <c:ptCount val="4"/>
                <c:pt idx="0">
                  <c:v>80.098741397476402</c:v>
                </c:pt>
                <c:pt idx="1">
                  <c:v>73.062366359272701</c:v>
                </c:pt>
                <c:pt idx="2">
                  <c:v>37.679908142531694</c:v>
                </c:pt>
                <c:pt idx="3">
                  <c:v>44.765423137408725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D5-4DAD-BCFD-B7562EAE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64880"/>
        <c:axId val="382187712"/>
      </c:scatterChart>
      <c:valAx>
        <c:axId val="37186488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87712"/>
        <c:crosses val="autoZero"/>
        <c:crossBetween val="midCat"/>
        <c:majorUnit val="5"/>
      </c:valAx>
      <c:valAx>
        <c:axId val="38218771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64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I20km!$A$2:$A$5</c:f>
              <c:numCache>
                <c:formatCode>General</c:formatCode>
                <c:ptCount val="4"/>
                <c:pt idx="0">
                  <c:v>12.5</c:v>
                </c:pt>
                <c:pt idx="1">
                  <c:v>17.5</c:v>
                </c:pt>
                <c:pt idx="2">
                  <c:v>37.5</c:v>
                </c:pt>
                <c:pt idx="3">
                  <c:v>57.5</c:v>
                </c:pt>
              </c:numCache>
            </c:numRef>
          </c:xVal>
          <c:yVal>
            <c:numRef>
              <c:f>I20km!$G$2:$G$5</c:f>
              <c:numCache>
                <c:formatCode>General</c:formatCode>
                <c:ptCount val="4"/>
                <c:pt idx="0">
                  <c:v>-74</c:v>
                </c:pt>
                <c:pt idx="1">
                  <c:v>-75</c:v>
                </c:pt>
                <c:pt idx="2">
                  <c:v>-70</c:v>
                </c:pt>
                <c:pt idx="3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66-4C00-A519-938A6FF63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64880"/>
        <c:axId val="382189376"/>
      </c:scatterChart>
      <c:valAx>
        <c:axId val="37186488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89376"/>
        <c:crossesAt val="-100"/>
        <c:crossBetween val="midCat"/>
        <c:majorUnit val="5"/>
      </c:valAx>
      <c:valAx>
        <c:axId val="38218937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64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I20km!$E$2:$E$5</c:f>
              <c:numCache>
                <c:formatCode>0.0000</c:formatCode>
                <c:ptCount val="4"/>
                <c:pt idx="0">
                  <c:v>22.038800000000002</c:v>
                </c:pt>
                <c:pt idx="1">
                  <c:v>22.409200000000002</c:v>
                </c:pt>
                <c:pt idx="2">
                  <c:v>23.520399999999999</c:v>
                </c:pt>
                <c:pt idx="3">
                  <c:v>23.150000000000002</c:v>
                </c:pt>
              </c:numCache>
            </c:numRef>
          </c:xVal>
          <c:yVal>
            <c:numRef>
              <c:f>I20km!$G$2:$G$5</c:f>
              <c:numCache>
                <c:formatCode>General</c:formatCode>
                <c:ptCount val="4"/>
                <c:pt idx="0">
                  <c:v>-74</c:v>
                </c:pt>
                <c:pt idx="1">
                  <c:v>-75</c:v>
                </c:pt>
                <c:pt idx="2">
                  <c:v>-70</c:v>
                </c:pt>
                <c:pt idx="3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56-4EAE-B611-D64F00806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864880"/>
        <c:axId val="382191872"/>
      </c:scatterChart>
      <c:valAx>
        <c:axId val="371864880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91872"/>
        <c:crossesAt val="-100"/>
        <c:crossBetween val="midCat"/>
        <c:majorUnit val="5"/>
      </c:valAx>
      <c:valAx>
        <c:axId val="38219187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186488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I20km!$Q$2:$Q$5</c:f>
              <c:numCache>
                <c:formatCode>0.000000</c:formatCode>
                <c:ptCount val="4"/>
                <c:pt idx="0">
                  <c:v>80.098741397476402</c:v>
                </c:pt>
                <c:pt idx="1">
                  <c:v>73.062366359272701</c:v>
                </c:pt>
                <c:pt idx="2">
                  <c:v>37.679908142531694</c:v>
                </c:pt>
                <c:pt idx="3">
                  <c:v>44.765423137408725</c:v>
                </c:pt>
              </c:numCache>
            </c:numRef>
          </c:xVal>
          <c:yVal>
            <c:numRef>
              <c:f>I20km!$G$2:$G$5</c:f>
              <c:numCache>
                <c:formatCode>General</c:formatCode>
                <c:ptCount val="4"/>
                <c:pt idx="0">
                  <c:v>-74</c:v>
                </c:pt>
                <c:pt idx="1">
                  <c:v>-75</c:v>
                </c:pt>
                <c:pt idx="2">
                  <c:v>-70</c:v>
                </c:pt>
                <c:pt idx="3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F6-4B6B-A03C-D3215979D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3136"/>
        <c:axId val="382189792"/>
      </c:scatterChart>
      <c:valAx>
        <c:axId val="3861631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89792"/>
        <c:crossesAt val="-100"/>
        <c:crossBetween val="midCat"/>
        <c:majorUnit val="5"/>
      </c:valAx>
      <c:valAx>
        <c:axId val="38218979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631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J10km!$E$1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J10km!$A$2:$A$32</c:f>
              <c:numCache>
                <c:formatCode>General</c:formatCode>
                <c:ptCount val="31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12.5</c:v>
                </c:pt>
                <c:pt idx="5">
                  <c:v>17.5</c:v>
                </c:pt>
                <c:pt idx="6">
                  <c:v>17.5</c:v>
                </c:pt>
                <c:pt idx="7">
                  <c:v>22.5</c:v>
                </c:pt>
                <c:pt idx="8">
                  <c:v>22.5</c:v>
                </c:pt>
                <c:pt idx="9">
                  <c:v>27.5</c:v>
                </c:pt>
                <c:pt idx="10">
                  <c:v>27.5</c:v>
                </c:pt>
                <c:pt idx="11">
                  <c:v>32.5</c:v>
                </c:pt>
                <c:pt idx="12">
                  <c:v>32.5</c:v>
                </c:pt>
                <c:pt idx="13">
                  <c:v>37.5</c:v>
                </c:pt>
                <c:pt idx="14">
                  <c:v>37.5</c:v>
                </c:pt>
                <c:pt idx="15">
                  <c:v>37.5</c:v>
                </c:pt>
                <c:pt idx="16">
                  <c:v>42.5</c:v>
                </c:pt>
                <c:pt idx="17">
                  <c:v>42.5</c:v>
                </c:pt>
                <c:pt idx="18">
                  <c:v>42.5</c:v>
                </c:pt>
                <c:pt idx="19">
                  <c:v>47.5</c:v>
                </c:pt>
                <c:pt idx="20">
                  <c:v>47.5</c:v>
                </c:pt>
                <c:pt idx="21">
                  <c:v>52.5</c:v>
                </c:pt>
                <c:pt idx="22">
                  <c:v>52.5</c:v>
                </c:pt>
                <c:pt idx="23">
                  <c:v>57.5</c:v>
                </c:pt>
                <c:pt idx="24">
                  <c:v>57.5</c:v>
                </c:pt>
                <c:pt idx="25">
                  <c:v>62.5</c:v>
                </c:pt>
                <c:pt idx="26">
                  <c:v>62.5</c:v>
                </c:pt>
                <c:pt idx="27">
                  <c:v>67.5</c:v>
                </c:pt>
                <c:pt idx="28">
                  <c:v>67.5</c:v>
                </c:pt>
                <c:pt idx="29">
                  <c:v>72.5</c:v>
                </c:pt>
                <c:pt idx="30">
                  <c:v>72.5</c:v>
                </c:pt>
              </c:numCache>
            </c:numRef>
          </c:xVal>
          <c:yVal>
            <c:numRef>
              <c:f>J10km!$E$2:$E$32</c:f>
              <c:numCache>
                <c:formatCode>0.0000</c:formatCode>
                <c:ptCount val="31"/>
                <c:pt idx="0">
                  <c:v>12.2232</c:v>
                </c:pt>
                <c:pt idx="1">
                  <c:v>14.075200000000001</c:v>
                </c:pt>
                <c:pt idx="2">
                  <c:v>14.075200000000001</c:v>
                </c:pt>
                <c:pt idx="3">
                  <c:v>15.186399999999999</c:v>
                </c:pt>
                <c:pt idx="4">
                  <c:v>15.742000000000001</c:v>
                </c:pt>
                <c:pt idx="5">
                  <c:v>15.742000000000001</c:v>
                </c:pt>
                <c:pt idx="6">
                  <c:v>15.742000000000001</c:v>
                </c:pt>
                <c:pt idx="7">
                  <c:v>15.742000000000001</c:v>
                </c:pt>
                <c:pt idx="8">
                  <c:v>15.556800000000001</c:v>
                </c:pt>
                <c:pt idx="9">
                  <c:v>15.556800000000001</c:v>
                </c:pt>
                <c:pt idx="10">
                  <c:v>14.816000000000001</c:v>
                </c:pt>
                <c:pt idx="11">
                  <c:v>14.075200000000001</c:v>
                </c:pt>
                <c:pt idx="12">
                  <c:v>14.075200000000001</c:v>
                </c:pt>
                <c:pt idx="13">
                  <c:v>14.075200000000001</c:v>
                </c:pt>
                <c:pt idx="14">
                  <c:v>11.6676</c:v>
                </c:pt>
                <c:pt idx="15">
                  <c:v>10.926800000000002</c:v>
                </c:pt>
                <c:pt idx="16">
                  <c:v>10.926800000000002</c:v>
                </c:pt>
                <c:pt idx="17">
                  <c:v>10.926800000000002</c:v>
                </c:pt>
                <c:pt idx="18">
                  <c:v>12.2232</c:v>
                </c:pt>
                <c:pt idx="19">
                  <c:v>12.2232</c:v>
                </c:pt>
                <c:pt idx="20">
                  <c:v>11.6676</c:v>
                </c:pt>
                <c:pt idx="21">
                  <c:v>11.6676</c:v>
                </c:pt>
                <c:pt idx="22">
                  <c:v>11.2972</c:v>
                </c:pt>
                <c:pt idx="23">
                  <c:v>10.926800000000002</c:v>
                </c:pt>
                <c:pt idx="24">
                  <c:v>10.926800000000002</c:v>
                </c:pt>
                <c:pt idx="25">
                  <c:v>10.926800000000002</c:v>
                </c:pt>
                <c:pt idx="26">
                  <c:v>10.926800000000002</c:v>
                </c:pt>
                <c:pt idx="27">
                  <c:v>10.926800000000002</c:v>
                </c:pt>
                <c:pt idx="28">
                  <c:v>10.926800000000002</c:v>
                </c:pt>
                <c:pt idx="29">
                  <c:v>10.926800000000002</c:v>
                </c:pt>
                <c:pt idx="30">
                  <c:v>11.2972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9-4AC7-A124-AF2692E18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4336"/>
        <c:axId val="382193120"/>
      </c:scatterChart>
      <c:valAx>
        <c:axId val="38615433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93120"/>
        <c:crosses val="autoZero"/>
        <c:crossBetween val="midCat"/>
        <c:majorUnit val="5"/>
      </c:valAx>
      <c:valAx>
        <c:axId val="38219312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543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J10km!$Q$1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J10km!$A$2:$A$32</c:f>
              <c:numCache>
                <c:formatCode>General</c:formatCode>
                <c:ptCount val="31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12.5</c:v>
                </c:pt>
                <c:pt idx="5">
                  <c:v>17.5</c:v>
                </c:pt>
                <c:pt idx="6">
                  <c:v>17.5</c:v>
                </c:pt>
                <c:pt idx="7">
                  <c:v>22.5</c:v>
                </c:pt>
                <c:pt idx="8">
                  <c:v>22.5</c:v>
                </c:pt>
                <c:pt idx="9">
                  <c:v>27.5</c:v>
                </c:pt>
                <c:pt idx="10">
                  <c:v>27.5</c:v>
                </c:pt>
                <c:pt idx="11">
                  <c:v>32.5</c:v>
                </c:pt>
                <c:pt idx="12">
                  <c:v>32.5</c:v>
                </c:pt>
                <c:pt idx="13">
                  <c:v>37.5</c:v>
                </c:pt>
                <c:pt idx="14">
                  <c:v>37.5</c:v>
                </c:pt>
                <c:pt idx="15">
                  <c:v>37.5</c:v>
                </c:pt>
                <c:pt idx="16">
                  <c:v>42.5</c:v>
                </c:pt>
                <c:pt idx="17">
                  <c:v>42.5</c:v>
                </c:pt>
                <c:pt idx="18">
                  <c:v>42.5</c:v>
                </c:pt>
                <c:pt idx="19">
                  <c:v>47.5</c:v>
                </c:pt>
                <c:pt idx="20">
                  <c:v>47.5</c:v>
                </c:pt>
                <c:pt idx="21">
                  <c:v>52.5</c:v>
                </c:pt>
                <c:pt idx="22">
                  <c:v>52.5</c:v>
                </c:pt>
                <c:pt idx="23">
                  <c:v>57.5</c:v>
                </c:pt>
                <c:pt idx="24">
                  <c:v>57.5</c:v>
                </c:pt>
                <c:pt idx="25">
                  <c:v>62.5</c:v>
                </c:pt>
                <c:pt idx="26">
                  <c:v>62.5</c:v>
                </c:pt>
                <c:pt idx="27">
                  <c:v>67.5</c:v>
                </c:pt>
                <c:pt idx="28">
                  <c:v>67.5</c:v>
                </c:pt>
                <c:pt idx="29">
                  <c:v>72.5</c:v>
                </c:pt>
                <c:pt idx="30">
                  <c:v>72.5</c:v>
                </c:pt>
              </c:numCache>
            </c:numRef>
          </c:xVal>
          <c:yVal>
            <c:numRef>
              <c:f>J10km!$Q$2:$Q$32</c:f>
              <c:numCache>
                <c:formatCode>0.000000</c:formatCode>
                <c:ptCount val="31"/>
                <c:pt idx="0">
                  <c:v>87.033347641734537</c:v>
                </c:pt>
                <c:pt idx="1">
                  <c:v>84.68397464884842</c:v>
                </c:pt>
                <c:pt idx="2">
                  <c:v>84.68397464884842</c:v>
                </c:pt>
                <c:pt idx="3">
                  <c:v>79.961040897845692</c:v>
                </c:pt>
                <c:pt idx="4">
                  <c:v>77.611151384303099</c:v>
                </c:pt>
                <c:pt idx="5">
                  <c:v>77.611151384303099</c:v>
                </c:pt>
                <c:pt idx="6">
                  <c:v>75.261223740159494</c:v>
                </c:pt>
                <c:pt idx="7">
                  <c:v>75.261223740159494</c:v>
                </c:pt>
                <c:pt idx="8">
                  <c:v>70.542097942331054</c:v>
                </c:pt>
                <c:pt idx="9">
                  <c:v>70.542097942331054</c:v>
                </c:pt>
                <c:pt idx="10">
                  <c:v>65.841434690060794</c:v>
                </c:pt>
                <c:pt idx="11">
                  <c:v>61.123085774195602</c:v>
                </c:pt>
                <c:pt idx="12">
                  <c:v>58.772174896163953</c:v>
                </c:pt>
                <c:pt idx="13">
                  <c:v>58.772174896163953</c:v>
                </c:pt>
                <c:pt idx="14">
                  <c:v>56.421368205991691</c:v>
                </c:pt>
                <c:pt idx="15">
                  <c:v>51.719600256789377</c:v>
                </c:pt>
                <c:pt idx="16">
                  <c:v>51.719600256789377</c:v>
                </c:pt>
                <c:pt idx="17">
                  <c:v>49.368715763139591</c:v>
                </c:pt>
                <c:pt idx="18">
                  <c:v>47.017766813988615</c:v>
                </c:pt>
                <c:pt idx="19">
                  <c:v>47.017766813988615</c:v>
                </c:pt>
                <c:pt idx="20">
                  <c:v>42.316059507793881</c:v>
                </c:pt>
                <c:pt idx="21">
                  <c:v>42.316059507793881</c:v>
                </c:pt>
                <c:pt idx="22">
                  <c:v>39.965210562956173</c:v>
                </c:pt>
                <c:pt idx="23">
                  <c:v>37.614285494290804</c:v>
                </c:pt>
                <c:pt idx="24">
                  <c:v>35.263397154157872</c:v>
                </c:pt>
                <c:pt idx="25">
                  <c:v>35.263397154157872</c:v>
                </c:pt>
                <c:pt idx="26">
                  <c:v>32.92092313187905</c:v>
                </c:pt>
                <c:pt idx="27">
                  <c:v>28.220488364390249</c:v>
                </c:pt>
                <c:pt idx="28">
                  <c:v>23.520839653208526</c:v>
                </c:pt>
                <c:pt idx="29">
                  <c:v>21.171046994281667</c:v>
                </c:pt>
                <c:pt idx="30">
                  <c:v>18.822085889496115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72-4C6F-A762-0914453A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4336"/>
        <c:axId val="382190208"/>
      </c:scatterChart>
      <c:valAx>
        <c:axId val="38615433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90208"/>
        <c:crosses val="autoZero"/>
        <c:crossBetween val="midCat"/>
        <c:majorUnit val="5"/>
      </c:valAx>
      <c:valAx>
        <c:axId val="3821902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543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J10km!$G$1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J10km!$A$2:$A$32</c:f>
              <c:numCache>
                <c:formatCode>General</c:formatCode>
                <c:ptCount val="31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12.5</c:v>
                </c:pt>
                <c:pt idx="5">
                  <c:v>17.5</c:v>
                </c:pt>
                <c:pt idx="6">
                  <c:v>17.5</c:v>
                </c:pt>
                <c:pt idx="7">
                  <c:v>22.5</c:v>
                </c:pt>
                <c:pt idx="8">
                  <c:v>22.5</c:v>
                </c:pt>
                <c:pt idx="9">
                  <c:v>27.5</c:v>
                </c:pt>
                <c:pt idx="10">
                  <c:v>27.5</c:v>
                </c:pt>
                <c:pt idx="11">
                  <c:v>32.5</c:v>
                </c:pt>
                <c:pt idx="12">
                  <c:v>32.5</c:v>
                </c:pt>
                <c:pt idx="13">
                  <c:v>37.5</c:v>
                </c:pt>
                <c:pt idx="14">
                  <c:v>37.5</c:v>
                </c:pt>
                <c:pt idx="15">
                  <c:v>37.5</c:v>
                </c:pt>
                <c:pt idx="16">
                  <c:v>42.5</c:v>
                </c:pt>
                <c:pt idx="17">
                  <c:v>42.5</c:v>
                </c:pt>
                <c:pt idx="18">
                  <c:v>42.5</c:v>
                </c:pt>
                <c:pt idx="19">
                  <c:v>47.5</c:v>
                </c:pt>
                <c:pt idx="20">
                  <c:v>47.5</c:v>
                </c:pt>
                <c:pt idx="21">
                  <c:v>52.5</c:v>
                </c:pt>
                <c:pt idx="22">
                  <c:v>52.5</c:v>
                </c:pt>
                <c:pt idx="23">
                  <c:v>57.5</c:v>
                </c:pt>
                <c:pt idx="24">
                  <c:v>57.5</c:v>
                </c:pt>
                <c:pt idx="25">
                  <c:v>62.5</c:v>
                </c:pt>
                <c:pt idx="26">
                  <c:v>62.5</c:v>
                </c:pt>
                <c:pt idx="27">
                  <c:v>67.5</c:v>
                </c:pt>
                <c:pt idx="28">
                  <c:v>67.5</c:v>
                </c:pt>
                <c:pt idx="29">
                  <c:v>72.5</c:v>
                </c:pt>
                <c:pt idx="30">
                  <c:v>72.5</c:v>
                </c:pt>
              </c:numCache>
            </c:numRef>
          </c:xVal>
          <c:yVal>
            <c:numRef>
              <c:f>J10km!$G$2:$G$32</c:f>
              <c:numCache>
                <c:formatCode>General</c:formatCode>
                <c:ptCount val="31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-76</c:v>
                </c:pt>
                <c:pt idx="7">
                  <c:v>-76</c:v>
                </c:pt>
                <c:pt idx="8">
                  <c:v>-75</c:v>
                </c:pt>
                <c:pt idx="9">
                  <c:v>-75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-76</c:v>
                </c:pt>
                <c:pt idx="21">
                  <c:v>-76</c:v>
                </c:pt>
                <c:pt idx="22">
                  <c:v>-75</c:v>
                </c:pt>
                <c:pt idx="23">
                  <c:v>-75</c:v>
                </c:pt>
                <c:pt idx="24">
                  <c:v>-74</c:v>
                </c:pt>
                <c:pt idx="25">
                  <c:v>-74</c:v>
                </c:pt>
                <c:pt idx="26">
                  <c:v>-74</c:v>
                </c:pt>
                <c:pt idx="27">
                  <c:v>-74</c:v>
                </c:pt>
                <c:pt idx="28">
                  <c:v>-74</c:v>
                </c:pt>
                <c:pt idx="29">
                  <c:v>-75</c:v>
                </c:pt>
                <c:pt idx="30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66-4A85-B11B-DF617821F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4336"/>
        <c:axId val="382186048"/>
      </c:scatterChart>
      <c:valAx>
        <c:axId val="386154336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2186048"/>
        <c:crossesAt val="-100"/>
        <c:crossBetween val="midCat"/>
        <c:majorUnit val="5"/>
      </c:valAx>
      <c:valAx>
        <c:axId val="38218604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543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J10km!$G$1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J10km!$E$2:$E$32</c:f>
              <c:numCache>
                <c:formatCode>0.0000</c:formatCode>
                <c:ptCount val="31"/>
                <c:pt idx="0">
                  <c:v>12.2232</c:v>
                </c:pt>
                <c:pt idx="1">
                  <c:v>14.075200000000001</c:v>
                </c:pt>
                <c:pt idx="2">
                  <c:v>14.075200000000001</c:v>
                </c:pt>
                <c:pt idx="3">
                  <c:v>15.186399999999999</c:v>
                </c:pt>
                <c:pt idx="4">
                  <c:v>15.742000000000001</c:v>
                </c:pt>
                <c:pt idx="5">
                  <c:v>15.742000000000001</c:v>
                </c:pt>
                <c:pt idx="6">
                  <c:v>15.742000000000001</c:v>
                </c:pt>
                <c:pt idx="7">
                  <c:v>15.742000000000001</c:v>
                </c:pt>
                <c:pt idx="8">
                  <c:v>15.556800000000001</c:v>
                </c:pt>
                <c:pt idx="9">
                  <c:v>15.556800000000001</c:v>
                </c:pt>
                <c:pt idx="10">
                  <c:v>14.816000000000001</c:v>
                </c:pt>
                <c:pt idx="11">
                  <c:v>14.075200000000001</c:v>
                </c:pt>
                <c:pt idx="12">
                  <c:v>14.075200000000001</c:v>
                </c:pt>
                <c:pt idx="13">
                  <c:v>14.075200000000001</c:v>
                </c:pt>
                <c:pt idx="14">
                  <c:v>11.6676</c:v>
                </c:pt>
                <c:pt idx="15">
                  <c:v>10.926800000000002</c:v>
                </c:pt>
                <c:pt idx="16">
                  <c:v>10.926800000000002</c:v>
                </c:pt>
                <c:pt idx="17">
                  <c:v>10.926800000000002</c:v>
                </c:pt>
                <c:pt idx="18">
                  <c:v>12.2232</c:v>
                </c:pt>
                <c:pt idx="19">
                  <c:v>12.2232</c:v>
                </c:pt>
                <c:pt idx="20">
                  <c:v>11.6676</c:v>
                </c:pt>
                <c:pt idx="21">
                  <c:v>11.6676</c:v>
                </c:pt>
                <c:pt idx="22">
                  <c:v>11.2972</c:v>
                </c:pt>
                <c:pt idx="23">
                  <c:v>10.926800000000002</c:v>
                </c:pt>
                <c:pt idx="24">
                  <c:v>10.926800000000002</c:v>
                </c:pt>
                <c:pt idx="25">
                  <c:v>10.926800000000002</c:v>
                </c:pt>
                <c:pt idx="26">
                  <c:v>10.926800000000002</c:v>
                </c:pt>
                <c:pt idx="27">
                  <c:v>10.926800000000002</c:v>
                </c:pt>
                <c:pt idx="28">
                  <c:v>10.926800000000002</c:v>
                </c:pt>
                <c:pt idx="29">
                  <c:v>10.926800000000002</c:v>
                </c:pt>
                <c:pt idx="30">
                  <c:v>11.2972</c:v>
                </c:pt>
              </c:numCache>
            </c:numRef>
          </c:xVal>
          <c:yVal>
            <c:numRef>
              <c:f>J10km!$G$2:$G$32</c:f>
              <c:numCache>
                <c:formatCode>General</c:formatCode>
                <c:ptCount val="31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-76</c:v>
                </c:pt>
                <c:pt idx="7">
                  <c:v>-76</c:v>
                </c:pt>
                <c:pt idx="8">
                  <c:v>-75</c:v>
                </c:pt>
                <c:pt idx="9">
                  <c:v>-75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-76</c:v>
                </c:pt>
                <c:pt idx="21">
                  <c:v>-76</c:v>
                </c:pt>
                <c:pt idx="22">
                  <c:v>-75</c:v>
                </c:pt>
                <c:pt idx="23">
                  <c:v>-75</c:v>
                </c:pt>
                <c:pt idx="24">
                  <c:v>-74</c:v>
                </c:pt>
                <c:pt idx="25">
                  <c:v>-74</c:v>
                </c:pt>
                <c:pt idx="26">
                  <c:v>-74</c:v>
                </c:pt>
                <c:pt idx="27">
                  <c:v>-74</c:v>
                </c:pt>
                <c:pt idx="28">
                  <c:v>-74</c:v>
                </c:pt>
                <c:pt idx="29">
                  <c:v>-75</c:v>
                </c:pt>
                <c:pt idx="30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42-45FE-AEC8-D588218CC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4336"/>
        <c:axId val="370573088"/>
      </c:scatterChart>
      <c:valAx>
        <c:axId val="386154336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0573088"/>
        <c:crossesAt val="-100"/>
        <c:crossBetween val="midCat"/>
        <c:majorUnit val="5"/>
      </c:valAx>
      <c:valAx>
        <c:axId val="37057308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543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J10km!$G$1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J10km!$Q$2:$Q$32</c:f>
              <c:numCache>
                <c:formatCode>0.000000</c:formatCode>
                <c:ptCount val="31"/>
                <c:pt idx="0">
                  <c:v>87.033347641734537</c:v>
                </c:pt>
                <c:pt idx="1">
                  <c:v>84.68397464884842</c:v>
                </c:pt>
                <c:pt idx="2">
                  <c:v>84.68397464884842</c:v>
                </c:pt>
                <c:pt idx="3">
                  <c:v>79.961040897845692</c:v>
                </c:pt>
                <c:pt idx="4">
                  <c:v>77.611151384303099</c:v>
                </c:pt>
                <c:pt idx="5">
                  <c:v>77.611151384303099</c:v>
                </c:pt>
                <c:pt idx="6">
                  <c:v>75.261223740159494</c:v>
                </c:pt>
                <c:pt idx="7">
                  <c:v>75.261223740159494</c:v>
                </c:pt>
                <c:pt idx="8">
                  <c:v>70.542097942331054</c:v>
                </c:pt>
                <c:pt idx="9">
                  <c:v>70.542097942331054</c:v>
                </c:pt>
                <c:pt idx="10">
                  <c:v>65.841434690060794</c:v>
                </c:pt>
                <c:pt idx="11">
                  <c:v>61.123085774195602</c:v>
                </c:pt>
                <c:pt idx="12">
                  <c:v>58.772174896163953</c:v>
                </c:pt>
                <c:pt idx="13">
                  <c:v>58.772174896163953</c:v>
                </c:pt>
                <c:pt idx="14">
                  <c:v>56.421368205991691</c:v>
                </c:pt>
                <c:pt idx="15">
                  <c:v>51.719600256789377</c:v>
                </c:pt>
                <c:pt idx="16">
                  <c:v>51.719600256789377</c:v>
                </c:pt>
                <c:pt idx="17">
                  <c:v>49.368715763139591</c:v>
                </c:pt>
                <c:pt idx="18">
                  <c:v>47.017766813988615</c:v>
                </c:pt>
                <c:pt idx="19">
                  <c:v>47.017766813988615</c:v>
                </c:pt>
                <c:pt idx="20">
                  <c:v>42.316059507793881</c:v>
                </c:pt>
                <c:pt idx="21">
                  <c:v>42.316059507793881</c:v>
                </c:pt>
                <c:pt idx="22">
                  <c:v>39.965210562956173</c:v>
                </c:pt>
                <c:pt idx="23">
                  <c:v>37.614285494290804</c:v>
                </c:pt>
                <c:pt idx="24">
                  <c:v>35.263397154157872</c:v>
                </c:pt>
                <c:pt idx="25">
                  <c:v>35.263397154157872</c:v>
                </c:pt>
                <c:pt idx="26">
                  <c:v>32.92092313187905</c:v>
                </c:pt>
                <c:pt idx="27">
                  <c:v>28.220488364390249</c:v>
                </c:pt>
                <c:pt idx="28">
                  <c:v>23.520839653208526</c:v>
                </c:pt>
                <c:pt idx="29">
                  <c:v>21.171046994281667</c:v>
                </c:pt>
                <c:pt idx="30">
                  <c:v>18.822085889496115</c:v>
                </c:pt>
              </c:numCache>
            </c:numRef>
          </c:xVal>
          <c:yVal>
            <c:numRef>
              <c:f>J10km!$G$2:$G$32</c:f>
              <c:numCache>
                <c:formatCode>General</c:formatCode>
                <c:ptCount val="31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-76</c:v>
                </c:pt>
                <c:pt idx="7">
                  <c:v>-76</c:v>
                </c:pt>
                <c:pt idx="8">
                  <c:v>-75</c:v>
                </c:pt>
                <c:pt idx="9">
                  <c:v>-75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-76</c:v>
                </c:pt>
                <c:pt idx="21">
                  <c:v>-76</c:v>
                </c:pt>
                <c:pt idx="22">
                  <c:v>-75</c:v>
                </c:pt>
                <c:pt idx="23">
                  <c:v>-75</c:v>
                </c:pt>
                <c:pt idx="24">
                  <c:v>-74</c:v>
                </c:pt>
                <c:pt idx="25">
                  <c:v>-74</c:v>
                </c:pt>
                <c:pt idx="26">
                  <c:v>-74</c:v>
                </c:pt>
                <c:pt idx="27">
                  <c:v>-74</c:v>
                </c:pt>
                <c:pt idx="28">
                  <c:v>-74</c:v>
                </c:pt>
                <c:pt idx="29">
                  <c:v>-75</c:v>
                </c:pt>
                <c:pt idx="30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A4-4899-B662-3BC37D44B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4336"/>
        <c:axId val="370570592"/>
      </c:scatterChart>
      <c:valAx>
        <c:axId val="386154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0570592"/>
        <c:crossesAt val="-100"/>
        <c:crossBetween val="midCat"/>
        <c:majorUnit val="5"/>
      </c:valAx>
      <c:valAx>
        <c:axId val="37057059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154336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K20km!$E$1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K20km!$A$2:$A$14</c:f>
              <c:numCache>
                <c:formatCode>General</c:formatCode>
                <c:ptCount val="13"/>
                <c:pt idx="0">
                  <c:v>2.5</c:v>
                </c:pt>
                <c:pt idx="1">
                  <c:v>27.5</c:v>
                </c:pt>
                <c:pt idx="2">
                  <c:v>32.5</c:v>
                </c:pt>
                <c:pt idx="3">
                  <c:v>42.5</c:v>
                </c:pt>
                <c:pt idx="4">
                  <c:v>47.5</c:v>
                </c:pt>
                <c:pt idx="5">
                  <c:v>52.5</c:v>
                </c:pt>
                <c:pt idx="6">
                  <c:v>52.5</c:v>
                </c:pt>
                <c:pt idx="7">
                  <c:v>57.5</c:v>
                </c:pt>
                <c:pt idx="8">
                  <c:v>57.5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</c:numCache>
            </c:numRef>
          </c:xVal>
          <c:yVal>
            <c:numRef>
              <c:f>K20km!$E$2:$E$14</c:f>
              <c:numCache>
                <c:formatCode>0.0000</c:formatCode>
                <c:ptCount val="13"/>
                <c:pt idx="0">
                  <c:v>15.001200000000001</c:v>
                </c:pt>
                <c:pt idx="1">
                  <c:v>20.001600000000003</c:v>
                </c:pt>
                <c:pt idx="2">
                  <c:v>19.446000000000002</c:v>
                </c:pt>
                <c:pt idx="3">
                  <c:v>19.446000000000002</c:v>
                </c:pt>
                <c:pt idx="4">
                  <c:v>19.446000000000002</c:v>
                </c:pt>
                <c:pt idx="5">
                  <c:v>19.446000000000002</c:v>
                </c:pt>
                <c:pt idx="6">
                  <c:v>19.446000000000002</c:v>
                </c:pt>
                <c:pt idx="7">
                  <c:v>19.446000000000002</c:v>
                </c:pt>
                <c:pt idx="8">
                  <c:v>19.816399999999998</c:v>
                </c:pt>
                <c:pt idx="9">
                  <c:v>19.816399999999998</c:v>
                </c:pt>
                <c:pt idx="10">
                  <c:v>19.446000000000002</c:v>
                </c:pt>
                <c:pt idx="11">
                  <c:v>19.446000000000002</c:v>
                </c:pt>
                <c:pt idx="12">
                  <c:v>19.446000000000002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C1-44C8-A2A9-EEA64A17E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344992"/>
        <c:axId val="67916320"/>
      </c:scatterChart>
      <c:valAx>
        <c:axId val="1491344992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6320"/>
        <c:crosses val="autoZero"/>
        <c:crossBetween val="midCat"/>
        <c:majorUnit val="5"/>
      </c:valAx>
      <c:valAx>
        <c:axId val="6791632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134499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K20km!$Q$1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K20km!$A$2:$A$14</c:f>
              <c:numCache>
                <c:formatCode>General</c:formatCode>
                <c:ptCount val="13"/>
                <c:pt idx="0">
                  <c:v>2.5</c:v>
                </c:pt>
                <c:pt idx="1">
                  <c:v>27.5</c:v>
                </c:pt>
                <c:pt idx="2">
                  <c:v>32.5</c:v>
                </c:pt>
                <c:pt idx="3">
                  <c:v>42.5</c:v>
                </c:pt>
                <c:pt idx="4">
                  <c:v>47.5</c:v>
                </c:pt>
                <c:pt idx="5">
                  <c:v>52.5</c:v>
                </c:pt>
                <c:pt idx="6">
                  <c:v>52.5</c:v>
                </c:pt>
                <c:pt idx="7">
                  <c:v>57.5</c:v>
                </c:pt>
                <c:pt idx="8">
                  <c:v>57.5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</c:numCache>
            </c:numRef>
          </c:xVal>
          <c:yVal>
            <c:numRef>
              <c:f>K20km!$Q$2:$Q$14</c:f>
              <c:numCache>
                <c:formatCode>0.000000</c:formatCode>
                <c:ptCount val="13"/>
                <c:pt idx="0">
                  <c:v>91.687559631887481</c:v>
                </c:pt>
                <c:pt idx="1">
                  <c:v>61.141186434517955</c:v>
                </c:pt>
                <c:pt idx="2">
                  <c:v>54.075440220287085</c:v>
                </c:pt>
                <c:pt idx="3">
                  <c:v>44.666945461577733</c:v>
                </c:pt>
                <c:pt idx="4">
                  <c:v>37.621489179724549</c:v>
                </c:pt>
                <c:pt idx="5">
                  <c:v>37.621489179724549</c:v>
                </c:pt>
                <c:pt idx="6">
                  <c:v>39.965210562956173</c:v>
                </c:pt>
                <c:pt idx="7">
                  <c:v>39.965210562956173</c:v>
                </c:pt>
                <c:pt idx="8">
                  <c:v>47.017766813988615</c:v>
                </c:pt>
                <c:pt idx="9">
                  <c:v>47.017766813988615</c:v>
                </c:pt>
                <c:pt idx="10">
                  <c:v>51.719600256789377</c:v>
                </c:pt>
                <c:pt idx="11">
                  <c:v>58.776785527947524</c:v>
                </c:pt>
                <c:pt idx="12">
                  <c:v>58.776785527947524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56-457F-B811-6B4971EFB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241264"/>
        <c:axId val="67911744"/>
      </c:scatterChart>
      <c:valAx>
        <c:axId val="3862412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1744"/>
        <c:crosses val="autoZero"/>
        <c:crossBetween val="midCat"/>
        <c:majorUnit val="5"/>
      </c:valAx>
      <c:valAx>
        <c:axId val="6791174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862412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K20km!$A$2:$A$14</c:f>
              <c:numCache>
                <c:formatCode>General</c:formatCode>
                <c:ptCount val="13"/>
                <c:pt idx="0">
                  <c:v>2.5</c:v>
                </c:pt>
                <c:pt idx="1">
                  <c:v>27.5</c:v>
                </c:pt>
                <c:pt idx="2">
                  <c:v>32.5</c:v>
                </c:pt>
                <c:pt idx="3">
                  <c:v>42.5</c:v>
                </c:pt>
                <c:pt idx="4">
                  <c:v>47.5</c:v>
                </c:pt>
                <c:pt idx="5">
                  <c:v>52.5</c:v>
                </c:pt>
                <c:pt idx="6">
                  <c:v>52.5</c:v>
                </c:pt>
                <c:pt idx="7">
                  <c:v>57.5</c:v>
                </c:pt>
                <c:pt idx="8">
                  <c:v>57.5</c:v>
                </c:pt>
                <c:pt idx="9">
                  <c:v>62.5</c:v>
                </c:pt>
                <c:pt idx="10">
                  <c:v>67.5</c:v>
                </c:pt>
                <c:pt idx="11">
                  <c:v>67.5</c:v>
                </c:pt>
                <c:pt idx="12">
                  <c:v>72.5</c:v>
                </c:pt>
              </c:numCache>
            </c:numRef>
          </c:xVal>
          <c:yVal>
            <c:numRef>
              <c:f>K20km!$G$2:$G$14</c:f>
              <c:numCache>
                <c:formatCode>General</c:formatCode>
                <c:ptCount val="13"/>
                <c:pt idx="0">
                  <c:v>-76</c:v>
                </c:pt>
                <c:pt idx="1">
                  <c:v>-75</c:v>
                </c:pt>
                <c:pt idx="2">
                  <c:v>-76</c:v>
                </c:pt>
                <c:pt idx="3">
                  <c:v>-77</c:v>
                </c:pt>
                <c:pt idx="4">
                  <c:v>-70</c:v>
                </c:pt>
                <c:pt idx="5">
                  <c:v>-70</c:v>
                </c:pt>
                <c:pt idx="6">
                  <c:v>-70</c:v>
                </c:pt>
                <c:pt idx="7">
                  <c:v>-70</c:v>
                </c:pt>
                <c:pt idx="8">
                  <c:v>-70</c:v>
                </c:pt>
                <c:pt idx="9">
                  <c:v>-70</c:v>
                </c:pt>
                <c:pt idx="10">
                  <c:v>-70</c:v>
                </c:pt>
                <c:pt idx="11">
                  <c:v>-70</c:v>
                </c:pt>
                <c:pt idx="12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3E-4134-9A61-350DC839C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66464"/>
        <c:axId val="67914240"/>
      </c:scatterChart>
      <c:valAx>
        <c:axId val="15716646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4240"/>
        <c:crossesAt val="-100"/>
        <c:crossBetween val="midCat"/>
        <c:majorUnit val="5"/>
      </c:valAx>
      <c:valAx>
        <c:axId val="6791424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1664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K20km!$E$2:$E$14</c:f>
              <c:numCache>
                <c:formatCode>0.0000</c:formatCode>
                <c:ptCount val="13"/>
                <c:pt idx="0">
                  <c:v>15.001200000000001</c:v>
                </c:pt>
                <c:pt idx="1">
                  <c:v>20.001600000000003</c:v>
                </c:pt>
                <c:pt idx="2">
                  <c:v>19.446000000000002</c:v>
                </c:pt>
                <c:pt idx="3">
                  <c:v>19.446000000000002</c:v>
                </c:pt>
                <c:pt idx="4">
                  <c:v>19.446000000000002</c:v>
                </c:pt>
                <c:pt idx="5">
                  <c:v>19.446000000000002</c:v>
                </c:pt>
                <c:pt idx="6">
                  <c:v>19.446000000000002</c:v>
                </c:pt>
                <c:pt idx="7">
                  <c:v>19.446000000000002</c:v>
                </c:pt>
                <c:pt idx="8">
                  <c:v>19.816399999999998</c:v>
                </c:pt>
                <c:pt idx="9">
                  <c:v>19.816399999999998</c:v>
                </c:pt>
                <c:pt idx="10">
                  <c:v>19.446000000000002</c:v>
                </c:pt>
                <c:pt idx="11">
                  <c:v>19.446000000000002</c:v>
                </c:pt>
                <c:pt idx="12">
                  <c:v>19.446000000000002</c:v>
                </c:pt>
              </c:numCache>
            </c:numRef>
          </c:xVal>
          <c:yVal>
            <c:numRef>
              <c:f>K20km!$G$2:$G$14</c:f>
              <c:numCache>
                <c:formatCode>General</c:formatCode>
                <c:ptCount val="13"/>
                <c:pt idx="0">
                  <c:v>-76</c:v>
                </c:pt>
                <c:pt idx="1">
                  <c:v>-75</c:v>
                </c:pt>
                <c:pt idx="2">
                  <c:v>-76</c:v>
                </c:pt>
                <c:pt idx="3">
                  <c:v>-77</c:v>
                </c:pt>
                <c:pt idx="4">
                  <c:v>-70</c:v>
                </c:pt>
                <c:pt idx="5">
                  <c:v>-70</c:v>
                </c:pt>
                <c:pt idx="6">
                  <c:v>-70</c:v>
                </c:pt>
                <c:pt idx="7">
                  <c:v>-70</c:v>
                </c:pt>
                <c:pt idx="8">
                  <c:v>-70</c:v>
                </c:pt>
                <c:pt idx="9">
                  <c:v>-70</c:v>
                </c:pt>
                <c:pt idx="10">
                  <c:v>-70</c:v>
                </c:pt>
                <c:pt idx="11">
                  <c:v>-70</c:v>
                </c:pt>
                <c:pt idx="12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6-4596-B92D-91DBB037E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52464"/>
        <c:axId val="67915072"/>
      </c:scatterChart>
      <c:valAx>
        <c:axId val="157152464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5072"/>
        <c:crossesAt val="-100"/>
        <c:crossBetween val="midCat"/>
        <c:majorUnit val="5"/>
      </c:valAx>
      <c:valAx>
        <c:axId val="6791507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1524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K20km!$Q$2:$Q$14</c:f>
              <c:numCache>
                <c:formatCode>0.000000</c:formatCode>
                <c:ptCount val="13"/>
                <c:pt idx="0">
                  <c:v>91.687559631887481</c:v>
                </c:pt>
                <c:pt idx="1">
                  <c:v>61.141186434517955</c:v>
                </c:pt>
                <c:pt idx="2">
                  <c:v>54.075440220287085</c:v>
                </c:pt>
                <c:pt idx="3">
                  <c:v>44.666945461577733</c:v>
                </c:pt>
                <c:pt idx="4">
                  <c:v>37.621489179724549</c:v>
                </c:pt>
                <c:pt idx="5">
                  <c:v>37.621489179724549</c:v>
                </c:pt>
                <c:pt idx="6">
                  <c:v>39.965210562956173</c:v>
                </c:pt>
                <c:pt idx="7">
                  <c:v>39.965210562956173</c:v>
                </c:pt>
                <c:pt idx="8">
                  <c:v>47.017766813988615</c:v>
                </c:pt>
                <c:pt idx="9">
                  <c:v>47.017766813988615</c:v>
                </c:pt>
                <c:pt idx="10">
                  <c:v>51.719600256789377</c:v>
                </c:pt>
                <c:pt idx="11">
                  <c:v>58.776785527947524</c:v>
                </c:pt>
                <c:pt idx="12">
                  <c:v>58.776785527947524</c:v>
                </c:pt>
              </c:numCache>
            </c:numRef>
          </c:xVal>
          <c:yVal>
            <c:numRef>
              <c:f>K20km!$G$2:$G$14</c:f>
              <c:numCache>
                <c:formatCode>General</c:formatCode>
                <c:ptCount val="13"/>
                <c:pt idx="0">
                  <c:v>-76</c:v>
                </c:pt>
                <c:pt idx="1">
                  <c:v>-75</c:v>
                </c:pt>
                <c:pt idx="2">
                  <c:v>-76</c:v>
                </c:pt>
                <c:pt idx="3">
                  <c:v>-77</c:v>
                </c:pt>
                <c:pt idx="4">
                  <c:v>-70</c:v>
                </c:pt>
                <c:pt idx="5">
                  <c:v>-70</c:v>
                </c:pt>
                <c:pt idx="6">
                  <c:v>-70</c:v>
                </c:pt>
                <c:pt idx="7">
                  <c:v>-70</c:v>
                </c:pt>
                <c:pt idx="8">
                  <c:v>-70</c:v>
                </c:pt>
                <c:pt idx="9">
                  <c:v>-70</c:v>
                </c:pt>
                <c:pt idx="10">
                  <c:v>-70</c:v>
                </c:pt>
                <c:pt idx="11">
                  <c:v>-70</c:v>
                </c:pt>
                <c:pt idx="12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B-461B-9CA7-DA3A0A4E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52464"/>
        <c:axId val="67915488"/>
      </c:scatterChart>
      <c:valAx>
        <c:axId val="1571524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15488"/>
        <c:crossesAt val="-100"/>
        <c:crossBetween val="midCat"/>
        <c:majorUnit val="5"/>
      </c:valAx>
      <c:valAx>
        <c:axId val="67915488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15246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L30km!$E$1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L30km!$A$2:$A$8</c:f>
              <c:numCache>
                <c:formatCode>General</c:formatCode>
                <c:ptCount val="7"/>
                <c:pt idx="0">
                  <c:v>2.5</c:v>
                </c:pt>
                <c:pt idx="1">
                  <c:v>7.5</c:v>
                </c:pt>
                <c:pt idx="2">
                  <c:v>27.5</c:v>
                </c:pt>
                <c:pt idx="3">
                  <c:v>37.5</c:v>
                </c:pt>
                <c:pt idx="4">
                  <c:v>42.5</c:v>
                </c:pt>
                <c:pt idx="5">
                  <c:v>47.5</c:v>
                </c:pt>
                <c:pt idx="6">
                  <c:v>57.5</c:v>
                </c:pt>
              </c:numCache>
            </c:numRef>
          </c:xVal>
          <c:yVal>
            <c:numRef>
              <c:f>L30km!$E$2:$E$8</c:f>
              <c:numCache>
                <c:formatCode>0.0000</c:formatCode>
                <c:ptCount val="7"/>
                <c:pt idx="0">
                  <c:v>36.299200000000006</c:v>
                </c:pt>
                <c:pt idx="1">
                  <c:v>36.299200000000006</c:v>
                </c:pt>
                <c:pt idx="2">
                  <c:v>35.373200000000004</c:v>
                </c:pt>
                <c:pt idx="3">
                  <c:v>35.558399999999999</c:v>
                </c:pt>
                <c:pt idx="4">
                  <c:v>35.928800000000003</c:v>
                </c:pt>
                <c:pt idx="5">
                  <c:v>35.928800000000003</c:v>
                </c:pt>
                <c:pt idx="6">
                  <c:v>36.114000000000004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7D-4291-803E-0387AEDE3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16320"/>
        <c:axId val="1998751408"/>
      </c:scatterChart>
      <c:valAx>
        <c:axId val="15771632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751408"/>
        <c:crosses val="autoZero"/>
        <c:crossBetween val="midCat"/>
        <c:majorUnit val="5"/>
      </c:valAx>
      <c:valAx>
        <c:axId val="19987514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71632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L30km!$Q$1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L30km!$A$2:$A$8</c:f>
              <c:numCache>
                <c:formatCode>General</c:formatCode>
                <c:ptCount val="7"/>
                <c:pt idx="0">
                  <c:v>2.5</c:v>
                </c:pt>
                <c:pt idx="1">
                  <c:v>7.5</c:v>
                </c:pt>
                <c:pt idx="2">
                  <c:v>27.5</c:v>
                </c:pt>
                <c:pt idx="3">
                  <c:v>37.5</c:v>
                </c:pt>
                <c:pt idx="4">
                  <c:v>42.5</c:v>
                </c:pt>
                <c:pt idx="5">
                  <c:v>47.5</c:v>
                </c:pt>
                <c:pt idx="6">
                  <c:v>57.5</c:v>
                </c:pt>
              </c:numCache>
            </c:numRef>
          </c:xVal>
          <c:yVal>
            <c:numRef>
              <c:f>L30km!$Q$2:$Q$8</c:f>
              <c:numCache>
                <c:formatCode>0.000000</c:formatCode>
                <c:ptCount val="7"/>
                <c:pt idx="0">
                  <c:v>15.938402116780987</c:v>
                </c:pt>
                <c:pt idx="1">
                  <c:v>10.238063439165638</c:v>
                </c:pt>
                <c:pt idx="2">
                  <c:v>11.979018492058916</c:v>
                </c:pt>
                <c:pt idx="3">
                  <c:v>20.218421250927669</c:v>
                </c:pt>
                <c:pt idx="4">
                  <c:v>29.17035488630513</c:v>
                </c:pt>
                <c:pt idx="5">
                  <c:v>29.17035488630513</c:v>
                </c:pt>
                <c:pt idx="6">
                  <c:v>38.339263447241478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23-48D7-9BDF-960B10D41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09120"/>
        <c:axId val="1996856944"/>
      </c:scatterChart>
      <c:valAx>
        <c:axId val="15770912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6856944"/>
        <c:crosses val="autoZero"/>
        <c:crossBetween val="midCat"/>
        <c:majorUnit val="5"/>
      </c:valAx>
      <c:valAx>
        <c:axId val="199685694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70912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L30km!$G$1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L30km!$A$2:$A$8</c:f>
              <c:numCache>
                <c:formatCode>General</c:formatCode>
                <c:ptCount val="7"/>
                <c:pt idx="0">
                  <c:v>2.5</c:v>
                </c:pt>
                <c:pt idx="1">
                  <c:v>7.5</c:v>
                </c:pt>
                <c:pt idx="2">
                  <c:v>27.5</c:v>
                </c:pt>
                <c:pt idx="3">
                  <c:v>37.5</c:v>
                </c:pt>
                <c:pt idx="4">
                  <c:v>42.5</c:v>
                </c:pt>
                <c:pt idx="5">
                  <c:v>47.5</c:v>
                </c:pt>
                <c:pt idx="6">
                  <c:v>57.5</c:v>
                </c:pt>
              </c:numCache>
            </c:numRef>
          </c:xVal>
          <c:yVal>
            <c:numRef>
              <c:f>L30km!$G$2:$G$8</c:f>
              <c:numCache>
                <c:formatCode>General</c:formatCode>
                <c:ptCount val="7"/>
                <c:pt idx="0">
                  <c:v>-68</c:v>
                </c:pt>
                <c:pt idx="1">
                  <c:v>-76</c:v>
                </c:pt>
                <c:pt idx="2">
                  <c:v>-76</c:v>
                </c:pt>
                <c:pt idx="3">
                  <c:v>-77</c:v>
                </c:pt>
                <c:pt idx="4">
                  <c:v>-77</c:v>
                </c:pt>
                <c:pt idx="5">
                  <c:v>-77</c:v>
                </c:pt>
                <c:pt idx="6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F-4E4C-AA06-361C5F680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09120"/>
        <c:axId val="1995964192"/>
      </c:scatterChart>
      <c:valAx>
        <c:axId val="15770912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964192"/>
        <c:crossesAt val="-100"/>
        <c:crossBetween val="midCat"/>
        <c:majorUnit val="5"/>
      </c:valAx>
      <c:valAx>
        <c:axId val="199596419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70912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L30km!$G$1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L30km!$E$2:$E$8</c:f>
              <c:numCache>
                <c:formatCode>0.0000</c:formatCode>
                <c:ptCount val="7"/>
                <c:pt idx="0">
                  <c:v>36.299200000000006</c:v>
                </c:pt>
                <c:pt idx="1">
                  <c:v>36.299200000000006</c:v>
                </c:pt>
                <c:pt idx="2">
                  <c:v>35.373200000000004</c:v>
                </c:pt>
                <c:pt idx="3">
                  <c:v>35.558399999999999</c:v>
                </c:pt>
                <c:pt idx="4">
                  <c:v>35.928800000000003</c:v>
                </c:pt>
                <c:pt idx="5">
                  <c:v>35.928800000000003</c:v>
                </c:pt>
                <c:pt idx="6">
                  <c:v>36.114000000000004</c:v>
                </c:pt>
              </c:numCache>
            </c:numRef>
          </c:xVal>
          <c:yVal>
            <c:numRef>
              <c:f>L30km!$G$2:$G$8</c:f>
              <c:numCache>
                <c:formatCode>General</c:formatCode>
                <c:ptCount val="7"/>
                <c:pt idx="0">
                  <c:v>-68</c:v>
                </c:pt>
                <c:pt idx="1">
                  <c:v>-76</c:v>
                </c:pt>
                <c:pt idx="2">
                  <c:v>-76</c:v>
                </c:pt>
                <c:pt idx="3">
                  <c:v>-77</c:v>
                </c:pt>
                <c:pt idx="4">
                  <c:v>-77</c:v>
                </c:pt>
                <c:pt idx="5">
                  <c:v>-77</c:v>
                </c:pt>
                <c:pt idx="6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27-47D9-9686-A3D751C91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8784"/>
        <c:axId val="157947152"/>
      </c:scatterChart>
      <c:valAx>
        <c:axId val="370188784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7152"/>
        <c:crossesAt val="-100"/>
        <c:crossBetween val="midCat"/>
        <c:majorUnit val="5"/>
      </c:valAx>
      <c:valAx>
        <c:axId val="15794715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018878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L30km!$G$1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L30km!$Q$2:$Q$8</c:f>
              <c:numCache>
                <c:formatCode>0.000000</c:formatCode>
                <c:ptCount val="7"/>
                <c:pt idx="0">
                  <c:v>15.938402116780987</c:v>
                </c:pt>
                <c:pt idx="1">
                  <c:v>10.238063439165638</c:v>
                </c:pt>
                <c:pt idx="2">
                  <c:v>11.979018492058916</c:v>
                </c:pt>
                <c:pt idx="3">
                  <c:v>20.218421250927669</c:v>
                </c:pt>
                <c:pt idx="4">
                  <c:v>29.17035488630513</c:v>
                </c:pt>
                <c:pt idx="5">
                  <c:v>29.17035488630513</c:v>
                </c:pt>
                <c:pt idx="6">
                  <c:v>38.339263447241478</c:v>
                </c:pt>
              </c:numCache>
            </c:numRef>
          </c:xVal>
          <c:yVal>
            <c:numRef>
              <c:f>L30km!$G$2:$G$8</c:f>
              <c:numCache>
                <c:formatCode>General</c:formatCode>
                <c:ptCount val="7"/>
                <c:pt idx="0">
                  <c:v>-68</c:v>
                </c:pt>
                <c:pt idx="1">
                  <c:v>-76</c:v>
                </c:pt>
                <c:pt idx="2">
                  <c:v>-76</c:v>
                </c:pt>
                <c:pt idx="3">
                  <c:v>-77</c:v>
                </c:pt>
                <c:pt idx="4">
                  <c:v>-77</c:v>
                </c:pt>
                <c:pt idx="5">
                  <c:v>-77</c:v>
                </c:pt>
                <c:pt idx="6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F-435A-A30B-FFE4CE58E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8384"/>
        <c:axId val="157946736"/>
      </c:scatterChart>
      <c:valAx>
        <c:axId val="3702083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6736"/>
        <c:crossesAt val="-100"/>
        <c:crossBetween val="midCat"/>
        <c:majorUnit val="5"/>
      </c:valAx>
      <c:valAx>
        <c:axId val="15794673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020838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M20km!$E$1</c:f>
              <c:strCache>
                <c:ptCount val="1"/>
                <c:pt idx="0">
                  <c:v>速さ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M20km!$A$2:$A$15</c:f>
              <c:numCache>
                <c:formatCode>General</c:formatCode>
                <c:ptCount val="14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32.5</c:v>
                </c:pt>
                <c:pt idx="5">
                  <c:v>37.5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</c:numCache>
            </c:numRef>
          </c:xVal>
          <c:yVal>
            <c:numRef>
              <c:f>M20km!$E$2:$E$15</c:f>
              <c:numCache>
                <c:formatCode>0.0000</c:formatCode>
                <c:ptCount val="14"/>
                <c:pt idx="0">
                  <c:v>15.186399999999999</c:v>
                </c:pt>
                <c:pt idx="1">
                  <c:v>15.927200000000001</c:v>
                </c:pt>
                <c:pt idx="2">
                  <c:v>15.927200000000001</c:v>
                </c:pt>
                <c:pt idx="3">
                  <c:v>16.667999999999999</c:v>
                </c:pt>
                <c:pt idx="4">
                  <c:v>22.409200000000002</c:v>
                </c:pt>
                <c:pt idx="5">
                  <c:v>22.409200000000002</c:v>
                </c:pt>
                <c:pt idx="6">
                  <c:v>23.520399999999999</c:v>
                </c:pt>
                <c:pt idx="7">
                  <c:v>23.520399999999999</c:v>
                </c:pt>
                <c:pt idx="8">
                  <c:v>23.705600000000004</c:v>
                </c:pt>
                <c:pt idx="9">
                  <c:v>24.816800000000001</c:v>
                </c:pt>
                <c:pt idx="10">
                  <c:v>24.816800000000001</c:v>
                </c:pt>
                <c:pt idx="11">
                  <c:v>25.372399999999999</c:v>
                </c:pt>
                <c:pt idx="12">
                  <c:v>25.557600000000004</c:v>
                </c:pt>
                <c:pt idx="13">
                  <c:v>25.557600000000004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5-4B41-A843-21E6FEFB9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8384"/>
        <c:axId val="157949648"/>
      </c:scatterChart>
      <c:valAx>
        <c:axId val="37020838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9648"/>
        <c:crosses val="autoZero"/>
        <c:crossBetween val="midCat"/>
        <c:majorUnit val="5"/>
      </c:valAx>
      <c:valAx>
        <c:axId val="1579496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020838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M20km!$Q$1</c:f>
              <c:strCache>
                <c:ptCount val="1"/>
                <c:pt idx="0">
                  <c:v>2点間の距離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M20km!$A$2:$A$15</c:f>
              <c:numCache>
                <c:formatCode>General</c:formatCode>
                <c:ptCount val="14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32.5</c:v>
                </c:pt>
                <c:pt idx="5">
                  <c:v>37.5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</c:numCache>
            </c:numRef>
          </c:xVal>
          <c:yVal>
            <c:numRef>
              <c:f>M20km!$Q$2:$Q$15</c:f>
              <c:numCache>
                <c:formatCode>0.000000</c:formatCode>
                <c:ptCount val="14"/>
                <c:pt idx="0">
                  <c:v>11.963172723434898</c:v>
                </c:pt>
                <c:pt idx="1">
                  <c:v>7.3961700786524176</c:v>
                </c:pt>
                <c:pt idx="2">
                  <c:v>7.3961700786524176</c:v>
                </c:pt>
                <c:pt idx="3">
                  <c:v>9.6634503616773682</c:v>
                </c:pt>
                <c:pt idx="4">
                  <c:v>56.440816689022711</c:v>
                </c:pt>
                <c:pt idx="5">
                  <c:v>56.440816689022711</c:v>
                </c:pt>
                <c:pt idx="6">
                  <c:v>51.740903373506391</c:v>
                </c:pt>
                <c:pt idx="7">
                  <c:v>51.740903373506391</c:v>
                </c:pt>
                <c:pt idx="8">
                  <c:v>44.72232165369028</c:v>
                </c:pt>
                <c:pt idx="9">
                  <c:v>37.680028006651021</c:v>
                </c:pt>
                <c:pt idx="10">
                  <c:v>37.680028006651021</c:v>
                </c:pt>
                <c:pt idx="11">
                  <c:v>32.987667534137074</c:v>
                </c:pt>
                <c:pt idx="12">
                  <c:v>23.614167938941737</c:v>
                </c:pt>
                <c:pt idx="13">
                  <c:v>16.606199293533489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C-4437-94F4-70A6DE8C1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78144"/>
        <c:axId val="157945904"/>
      </c:scatterChart>
      <c:valAx>
        <c:axId val="15287814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5904"/>
        <c:crosses val="autoZero"/>
        <c:crossBetween val="midCat"/>
        <c:majorUnit val="5"/>
      </c:valAx>
      <c:valAx>
        <c:axId val="1579459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287814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M20km!$A$2:$A$15</c:f>
              <c:numCache>
                <c:formatCode>General</c:formatCode>
                <c:ptCount val="14"/>
                <c:pt idx="0">
                  <c:v>2.5</c:v>
                </c:pt>
                <c:pt idx="1">
                  <c:v>2.5</c:v>
                </c:pt>
                <c:pt idx="2">
                  <c:v>7.5</c:v>
                </c:pt>
                <c:pt idx="3">
                  <c:v>7.5</c:v>
                </c:pt>
                <c:pt idx="4">
                  <c:v>32.5</c:v>
                </c:pt>
                <c:pt idx="5">
                  <c:v>37.5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</c:numCache>
            </c:numRef>
          </c:xVal>
          <c:yVal>
            <c:numRef>
              <c:f>M20km!$G$2:$G$15</c:f>
              <c:numCache>
                <c:formatCode>General</c:formatCode>
                <c:ptCount val="14"/>
                <c:pt idx="0">
                  <c:v>-76</c:v>
                </c:pt>
                <c:pt idx="1">
                  <c:v>-77</c:v>
                </c:pt>
                <c:pt idx="2">
                  <c:v>-77</c:v>
                </c:pt>
                <c:pt idx="3">
                  <c:v>-76</c:v>
                </c:pt>
                <c:pt idx="4">
                  <c:v>-77</c:v>
                </c:pt>
                <c:pt idx="5">
                  <c:v>-77</c:v>
                </c:pt>
                <c:pt idx="6">
                  <c:v>-78</c:v>
                </c:pt>
                <c:pt idx="7">
                  <c:v>-78</c:v>
                </c:pt>
                <c:pt idx="8">
                  <c:v>-78</c:v>
                </c:pt>
                <c:pt idx="9">
                  <c:v>-77</c:v>
                </c:pt>
                <c:pt idx="10">
                  <c:v>-77</c:v>
                </c:pt>
                <c:pt idx="11">
                  <c:v>-75</c:v>
                </c:pt>
                <c:pt idx="12">
                  <c:v>-76</c:v>
                </c:pt>
                <c:pt idx="13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E-4DF6-A8A4-7E71294D0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83744"/>
        <c:axId val="157949232"/>
      </c:scatterChart>
      <c:valAx>
        <c:axId val="152883744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測定箇所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9232"/>
        <c:crossesAt val="-100"/>
        <c:crossBetween val="midCat"/>
        <c:majorUnit val="5"/>
      </c:valAx>
      <c:valAx>
        <c:axId val="157949232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288374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M20km!$E$2:$E$15</c:f>
              <c:numCache>
                <c:formatCode>0.0000</c:formatCode>
                <c:ptCount val="14"/>
                <c:pt idx="0">
                  <c:v>15.186399999999999</c:v>
                </c:pt>
                <c:pt idx="1">
                  <c:v>15.927200000000001</c:v>
                </c:pt>
                <c:pt idx="2">
                  <c:v>15.927200000000001</c:v>
                </c:pt>
                <c:pt idx="3">
                  <c:v>16.667999999999999</c:v>
                </c:pt>
                <c:pt idx="4">
                  <c:v>22.409200000000002</c:v>
                </c:pt>
                <c:pt idx="5">
                  <c:v>22.409200000000002</c:v>
                </c:pt>
                <c:pt idx="6">
                  <c:v>23.520399999999999</c:v>
                </c:pt>
                <c:pt idx="7">
                  <c:v>23.520399999999999</c:v>
                </c:pt>
                <c:pt idx="8">
                  <c:v>23.705600000000004</c:v>
                </c:pt>
                <c:pt idx="9">
                  <c:v>24.816800000000001</c:v>
                </c:pt>
                <c:pt idx="10">
                  <c:v>24.816800000000001</c:v>
                </c:pt>
                <c:pt idx="11">
                  <c:v>25.372399999999999</c:v>
                </c:pt>
                <c:pt idx="12">
                  <c:v>25.557600000000004</c:v>
                </c:pt>
                <c:pt idx="13">
                  <c:v>25.557600000000004</c:v>
                </c:pt>
              </c:numCache>
            </c:numRef>
          </c:xVal>
          <c:yVal>
            <c:numRef>
              <c:f>M20km!$G$2:$G$15</c:f>
              <c:numCache>
                <c:formatCode>General</c:formatCode>
                <c:ptCount val="14"/>
                <c:pt idx="0">
                  <c:v>-76</c:v>
                </c:pt>
                <c:pt idx="1">
                  <c:v>-77</c:v>
                </c:pt>
                <c:pt idx="2">
                  <c:v>-77</c:v>
                </c:pt>
                <c:pt idx="3">
                  <c:v>-76</c:v>
                </c:pt>
                <c:pt idx="4">
                  <c:v>-77</c:v>
                </c:pt>
                <c:pt idx="5">
                  <c:v>-77</c:v>
                </c:pt>
                <c:pt idx="6">
                  <c:v>-78</c:v>
                </c:pt>
                <c:pt idx="7">
                  <c:v>-78</c:v>
                </c:pt>
                <c:pt idx="8">
                  <c:v>-78</c:v>
                </c:pt>
                <c:pt idx="9">
                  <c:v>-77</c:v>
                </c:pt>
                <c:pt idx="10">
                  <c:v>-77</c:v>
                </c:pt>
                <c:pt idx="11">
                  <c:v>-75</c:v>
                </c:pt>
                <c:pt idx="12">
                  <c:v>-76</c:v>
                </c:pt>
                <c:pt idx="13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0-4600-90EC-A2A9342B8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83744"/>
        <c:axId val="157948400"/>
      </c:scatterChart>
      <c:valAx>
        <c:axId val="152883744"/>
        <c:scaling>
          <c:orientation val="minMax"/>
          <c:max val="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速度</a:t>
                </a:r>
                <a:r>
                  <a:rPr lang="en-US" altLang="ja-JP" b="0"/>
                  <a:t>[km/h]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8400"/>
        <c:crossesAt val="-100"/>
        <c:crossBetween val="midCat"/>
        <c:majorUnit val="5"/>
      </c:valAx>
      <c:valAx>
        <c:axId val="157948400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2883744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M20km!$G$1</c:f>
              <c:strCache>
                <c:ptCount val="1"/>
                <c:pt idx="0">
                  <c:v>(R)受信感度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 w="6350">
                <a:noFill/>
              </a:ln>
            </c:spPr>
          </c:marker>
          <c:xVal>
            <c:numRef>
              <c:f>M20km!$Q$2:$Q$15</c:f>
              <c:numCache>
                <c:formatCode>0.000000</c:formatCode>
                <c:ptCount val="14"/>
                <c:pt idx="0">
                  <c:v>11.963172723434898</c:v>
                </c:pt>
                <c:pt idx="1">
                  <c:v>7.3961700786524176</c:v>
                </c:pt>
                <c:pt idx="2">
                  <c:v>7.3961700786524176</c:v>
                </c:pt>
                <c:pt idx="3">
                  <c:v>9.6634503616773682</c:v>
                </c:pt>
                <c:pt idx="4">
                  <c:v>56.440816689022711</c:v>
                </c:pt>
                <c:pt idx="5">
                  <c:v>56.440816689022711</c:v>
                </c:pt>
                <c:pt idx="6">
                  <c:v>51.740903373506391</c:v>
                </c:pt>
                <c:pt idx="7">
                  <c:v>51.740903373506391</c:v>
                </c:pt>
                <c:pt idx="8">
                  <c:v>44.72232165369028</c:v>
                </c:pt>
                <c:pt idx="9">
                  <c:v>37.680028006651021</c:v>
                </c:pt>
                <c:pt idx="10">
                  <c:v>37.680028006651021</c:v>
                </c:pt>
                <c:pt idx="11">
                  <c:v>32.987667534137074</c:v>
                </c:pt>
                <c:pt idx="12">
                  <c:v>23.614167938941737</c:v>
                </c:pt>
                <c:pt idx="13">
                  <c:v>16.606199293533489</c:v>
                </c:pt>
              </c:numCache>
            </c:numRef>
          </c:xVal>
          <c:yVal>
            <c:numRef>
              <c:f>M20km!$G$2:$G$15</c:f>
              <c:numCache>
                <c:formatCode>General</c:formatCode>
                <c:ptCount val="14"/>
                <c:pt idx="0">
                  <c:v>-76</c:v>
                </c:pt>
                <c:pt idx="1">
                  <c:v>-77</c:v>
                </c:pt>
                <c:pt idx="2">
                  <c:v>-77</c:v>
                </c:pt>
                <c:pt idx="3">
                  <c:v>-76</c:v>
                </c:pt>
                <c:pt idx="4">
                  <c:v>-77</c:v>
                </c:pt>
                <c:pt idx="5">
                  <c:v>-77</c:v>
                </c:pt>
                <c:pt idx="6">
                  <c:v>-78</c:v>
                </c:pt>
                <c:pt idx="7">
                  <c:v>-78</c:v>
                </c:pt>
                <c:pt idx="8">
                  <c:v>-78</c:v>
                </c:pt>
                <c:pt idx="9">
                  <c:v>-77</c:v>
                </c:pt>
                <c:pt idx="10">
                  <c:v>-77</c:v>
                </c:pt>
                <c:pt idx="11">
                  <c:v>-75</c:v>
                </c:pt>
                <c:pt idx="12">
                  <c:v>-76</c:v>
                </c:pt>
                <c:pt idx="13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B9-4D4F-A382-FB607D2F6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71168"/>
        <c:axId val="157942576"/>
      </c:scatterChart>
      <c:valAx>
        <c:axId val="1550711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b="0"/>
                  <a:t>2</a:t>
                </a:r>
                <a:r>
                  <a:rPr lang="ja-JP" altLang="en-US" b="0"/>
                  <a:t>点間の距離</a:t>
                </a:r>
                <a:r>
                  <a:rPr lang="en-US" altLang="ja-JP" b="0"/>
                  <a:t>[m]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942576"/>
        <c:crossesAt val="-100"/>
        <c:crossBetween val="midCat"/>
        <c:majorUnit val="5"/>
      </c:valAx>
      <c:valAx>
        <c:axId val="157942576"/>
        <c:scaling>
          <c:orientation val="minMax"/>
          <c:max val="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ja-JP" altLang="en-US" b="0"/>
                  <a:t>受信感度</a:t>
                </a:r>
                <a:r>
                  <a:rPr lang="en-US" altLang="ja-JP" b="0"/>
                  <a:t>[dBm]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507116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24</xdr:col>
      <xdr:colOff>0</xdr:colOff>
      <xdr:row>16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FB908B8-4523-42C5-8636-497E6CE69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24</xdr:col>
      <xdr:colOff>0</xdr:colOff>
      <xdr:row>16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D9159-7BAC-47E8-AF35-3ABEFBF9B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24</xdr:col>
      <xdr:colOff>0</xdr:colOff>
      <xdr:row>16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D8A319D-F0AE-4BE8-8E20-5FA079993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31745" name="手順2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93EE304A-F718-473A-B0FB-6D4BB7B2F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31746" name="手順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EEF2AAA9-2715-458C-BA44-4507E812A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31747" name="手順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4CA7A640-9847-4FC3-A6B7-04891D675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31748" name="手順2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4C558923-850E-4DAD-AF9A-36A0447FA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0</xdr:rowOff>
    </xdr:from>
    <xdr:to>
      <xdr:col>7</xdr:col>
      <xdr:colOff>100012</xdr:colOff>
      <xdr:row>40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FD82294-9996-4ED4-9931-52289075B6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14</xdr:col>
      <xdr:colOff>100012</xdr:colOff>
      <xdr:row>40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7B07E4-10E5-4283-B7B5-1D9EF7230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7</xdr:col>
      <xdr:colOff>100012</xdr:colOff>
      <xdr:row>54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B508BBC-4342-45DB-8227-B4914ADCC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14</xdr:col>
      <xdr:colOff>100012</xdr:colOff>
      <xdr:row>54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381D2A4-5D53-4ED9-9DA8-D767620D8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7</xdr:col>
      <xdr:colOff>100012</xdr:colOff>
      <xdr:row>68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2E0BFA5-C552-45D2-BC20-E89C3ED46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0</xdr:rowOff>
    </xdr:from>
    <xdr:to>
      <xdr:col>7</xdr:col>
      <xdr:colOff>100012</xdr:colOff>
      <xdr:row>40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8ABB63F-AB5D-4D8E-9ADD-506255FB8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14</xdr:col>
      <xdr:colOff>100012</xdr:colOff>
      <xdr:row>40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0BD78E6-BCEF-466B-8365-29DC0D26C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7</xdr:col>
      <xdr:colOff>100012</xdr:colOff>
      <xdr:row>54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B966646-EECE-4EC2-B8C3-61A08F2D0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14</xdr:col>
      <xdr:colOff>100012</xdr:colOff>
      <xdr:row>54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6D0DB3BA-1F09-4E6E-AF0A-DC4D739C2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7</xdr:col>
      <xdr:colOff>100012</xdr:colOff>
      <xdr:row>68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A9B9FD1-E0FE-4192-A5EC-B2A902F12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7</xdr:col>
      <xdr:colOff>100012</xdr:colOff>
      <xdr:row>29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ED4A6BC-637F-4E11-8D19-61FAB92E6A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14</xdr:col>
      <xdr:colOff>100012</xdr:colOff>
      <xdr:row>29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5F3C498-69CF-44B1-A1CF-5F927C93F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7</xdr:col>
      <xdr:colOff>100012</xdr:colOff>
      <xdr:row>43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55DEF74-DA8A-4A0E-91AE-84AAB7770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14</xdr:col>
      <xdr:colOff>100012</xdr:colOff>
      <xdr:row>43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88E2F8A-2446-4461-B002-6A4F9EA8B2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7</xdr:col>
      <xdr:colOff>100012</xdr:colOff>
      <xdr:row>57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95EF623-8568-4110-8A22-7F14374A0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7</xdr:col>
      <xdr:colOff>100012</xdr:colOff>
      <xdr:row>30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CAFF75D-C76B-4E21-B9F0-F7E101181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100012</xdr:colOff>
      <xdr:row>30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49341E8-9320-4E56-ABE7-933EA4A00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7</xdr:col>
      <xdr:colOff>100012</xdr:colOff>
      <xdr:row>44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B641A11-B52B-4786-99F7-BDA6C9D8F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14</xdr:col>
      <xdr:colOff>100012</xdr:colOff>
      <xdr:row>44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DE70A38-7657-43A1-8064-959B957AF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7</xdr:col>
      <xdr:colOff>100012</xdr:colOff>
      <xdr:row>58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14C36C4-2330-4867-ABE4-C2BD3F438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7</xdr:col>
      <xdr:colOff>100012</xdr:colOff>
      <xdr:row>32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B2A31B1-351E-4182-A5D5-053FF6D7B0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14</xdr:col>
      <xdr:colOff>100012</xdr:colOff>
      <xdr:row>32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838EB42-7A1B-4D2D-9561-40A4F83A5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7</xdr:col>
      <xdr:colOff>100012</xdr:colOff>
      <xdr:row>46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0AF8992-DB2C-4968-A07E-BAA2C64393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100012</xdr:colOff>
      <xdr:row>46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03D6310-B01F-4D90-8F47-3A4002D42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7</xdr:col>
      <xdr:colOff>100012</xdr:colOff>
      <xdr:row>60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36EEB8C-C5EA-40AC-954B-D2AE1E634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7</xdr:col>
      <xdr:colOff>100012</xdr:colOff>
      <xdr:row>30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B354400-812C-428F-8D8D-4D1B0B889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100012</xdr:colOff>
      <xdr:row>30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C7396F9-7F11-46FA-A971-280A58858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7</xdr:col>
      <xdr:colOff>100012</xdr:colOff>
      <xdr:row>44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741C0C6-2FED-454B-9E76-516019921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14</xdr:col>
      <xdr:colOff>100012</xdr:colOff>
      <xdr:row>44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BFC530B-5F58-402B-85BD-964CC7829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7</xdr:col>
      <xdr:colOff>100012</xdr:colOff>
      <xdr:row>58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23B2486-B4A2-4864-AEBC-E000FCB8E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100012</xdr:colOff>
      <xdr:row>25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850CDDE-1569-43EE-9CE7-4C73F694D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100012</xdr:colOff>
      <xdr:row>25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55957E3-6102-4A66-AE42-08293D8E0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7</xdr:col>
      <xdr:colOff>100012</xdr:colOff>
      <xdr:row>39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16F9B4D-16DC-4E07-8F07-F0F9460520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27</xdr:row>
      <xdr:rowOff>0</xdr:rowOff>
    </xdr:from>
    <xdr:to>
      <xdr:col>14</xdr:col>
      <xdr:colOff>100012</xdr:colOff>
      <xdr:row>39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637D049-0927-4A7A-8A0B-2ECA1CE23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7</xdr:col>
      <xdr:colOff>100012</xdr:colOff>
      <xdr:row>53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FD9EC6B-EF0A-4328-9C46-80335DF04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7</xdr:col>
      <xdr:colOff>100012</xdr:colOff>
      <xdr:row>33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BDA856C-9B22-4798-8E2F-FED6CACB2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14</xdr:col>
      <xdr:colOff>100012</xdr:colOff>
      <xdr:row>33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0EFC2CF-B7B1-4D9A-A888-EAC1B32B7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7</xdr:col>
      <xdr:colOff>100012</xdr:colOff>
      <xdr:row>47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BAC02C5-A9E2-4982-8ED9-F552F44F3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35</xdr:row>
      <xdr:rowOff>0</xdr:rowOff>
    </xdr:from>
    <xdr:to>
      <xdr:col>14</xdr:col>
      <xdr:colOff>100012</xdr:colOff>
      <xdr:row>47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04B6A08-F3D3-4784-BF42-793244955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7</xdr:col>
      <xdr:colOff>100012</xdr:colOff>
      <xdr:row>61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4537BA65-2D80-42B7-9827-F0C9CE87B4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7</xdr:col>
      <xdr:colOff>100012</xdr:colOff>
      <xdr:row>18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4A2E40E-DAAB-4EF5-B18A-76A2679E6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6</xdr:row>
      <xdr:rowOff>0</xdr:rowOff>
    </xdr:from>
    <xdr:to>
      <xdr:col>14</xdr:col>
      <xdr:colOff>100012</xdr:colOff>
      <xdr:row>18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1A44967-9301-4391-BC99-31540D7C1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7</xdr:col>
      <xdr:colOff>100012</xdr:colOff>
      <xdr:row>32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D48CC80-96FE-4E19-898D-000EE5C78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14</xdr:col>
      <xdr:colOff>100012</xdr:colOff>
      <xdr:row>32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7C3C60D-9926-4711-94D6-B1CCF421D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7</xdr:col>
      <xdr:colOff>100012</xdr:colOff>
      <xdr:row>46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E3DBAC6-B1BD-43BB-AEBD-356718F9C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7</xdr:col>
      <xdr:colOff>100012</xdr:colOff>
      <xdr:row>45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047A59-1D98-48F6-AEFA-65FA9CF3F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14</xdr:col>
      <xdr:colOff>100012</xdr:colOff>
      <xdr:row>45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2EE2149-F9BB-495F-ACE2-25CE54357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7</xdr:col>
      <xdr:colOff>100012</xdr:colOff>
      <xdr:row>59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4B80A22-033C-47EA-93E0-ABFD2DCEF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14</xdr:col>
      <xdr:colOff>100012</xdr:colOff>
      <xdr:row>59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3EE02AC-1B67-412F-9C09-811CDB6011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7</xdr:col>
      <xdr:colOff>100012</xdr:colOff>
      <xdr:row>73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981C956-4E6C-40D7-B78D-E235F0895E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7</xdr:col>
      <xdr:colOff>100012</xdr:colOff>
      <xdr:row>27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5C60D52-EE59-40B5-A7E2-9C0DCFD9D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14</xdr:col>
      <xdr:colOff>100012</xdr:colOff>
      <xdr:row>27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57B0E93-010B-403B-9982-A17A9F98AF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100012</xdr:colOff>
      <xdr:row>41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D8B99D7-3A4A-4C2B-A133-EB7853ECE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29</xdr:row>
      <xdr:rowOff>0</xdr:rowOff>
    </xdr:from>
    <xdr:to>
      <xdr:col>14</xdr:col>
      <xdr:colOff>100012</xdr:colOff>
      <xdr:row>41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D2B5CAA-13B2-4E85-B799-9A260EB33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7</xdr:col>
      <xdr:colOff>100012</xdr:colOff>
      <xdr:row>55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FEF1C81-9E5C-46C2-B60A-4AF85C9DD8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7</xdr:col>
      <xdr:colOff>100012</xdr:colOff>
      <xdr:row>21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D33FD90-CD34-43C2-8778-4D2271E57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14</xdr:col>
      <xdr:colOff>100012</xdr:colOff>
      <xdr:row>21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66F4E7-CB02-46AC-8A53-146B683F36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7</xdr:col>
      <xdr:colOff>100012</xdr:colOff>
      <xdr:row>35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60511EE-5AE6-4428-BC7E-23F6521FEA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23</xdr:row>
      <xdr:rowOff>0</xdr:rowOff>
    </xdr:from>
    <xdr:to>
      <xdr:col>14</xdr:col>
      <xdr:colOff>100012</xdr:colOff>
      <xdr:row>35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7774716-F7DB-458B-9BE9-21947D307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7</xdr:col>
      <xdr:colOff>100012</xdr:colOff>
      <xdr:row>49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FF87920-8F2F-470D-828B-BF2B58325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7</xdr:col>
      <xdr:colOff>100012</xdr:colOff>
      <xdr:row>28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CE9911-6332-4F9F-9494-3B4385193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14</xdr:col>
      <xdr:colOff>100012</xdr:colOff>
      <xdr:row>28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AC3CF2B-B65A-43BD-ACB3-CDDD8852D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7</xdr:col>
      <xdr:colOff>100012</xdr:colOff>
      <xdr:row>42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D2A369C-576A-41ED-AACC-DA3E60719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14</xdr:col>
      <xdr:colOff>100012</xdr:colOff>
      <xdr:row>42</xdr:row>
      <xdr:rowOff>57150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9CBCAFC1-8F5F-46EF-8D10-B361F24C9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100012</xdr:colOff>
      <xdr:row>56</xdr:row>
      <xdr:rowOff>57150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39898D1-5F79-428C-9697-9F51C2F84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72973-4B82-4148-8BA2-76FD2E16A0DD}">
  <sheetPr codeName="Sheet6"/>
  <dimension ref="A1:O24"/>
  <sheetViews>
    <sheetView tabSelected="1" workbookViewId="0">
      <pane xSplit="1" ySplit="1" topLeftCell="B2" activePane="bottomRight" state="frozen"/>
      <selection activeCell="O15" sqref="O15"/>
      <selection pane="topRight" activeCell="O15" sqref="O15"/>
      <selection pane="bottomLeft" activeCell="O15" sqref="O15"/>
      <selection pane="bottomRight" activeCell="I4" sqref="I4"/>
    </sheetView>
  </sheetViews>
  <sheetFormatPr defaultRowHeight="17.649999999999999" x14ac:dyDescent="0.7"/>
  <cols>
    <col min="2" max="3" width="20.25" customWidth="1"/>
    <col min="4" max="5" width="13.5" customWidth="1"/>
    <col min="6" max="6" width="15.625" customWidth="1"/>
    <col min="8" max="15" width="10.5625" style="2" customWidth="1"/>
  </cols>
  <sheetData>
    <row r="1" spans="1:15" x14ac:dyDescent="0.7">
      <c r="A1" t="s">
        <v>22</v>
      </c>
      <c r="B1" t="s">
        <v>1</v>
      </c>
      <c r="C1" s="1" t="s">
        <v>2</v>
      </c>
      <c r="D1" t="s">
        <v>3</v>
      </c>
      <c r="E1" t="s">
        <v>0</v>
      </c>
      <c r="F1" t="s">
        <v>4</v>
      </c>
      <c r="H1" s="2" t="s">
        <v>96</v>
      </c>
      <c r="I1" s="2" t="s">
        <v>97</v>
      </c>
      <c r="K1" s="2" t="s">
        <v>98</v>
      </c>
      <c r="L1" s="2" t="s">
        <v>99</v>
      </c>
      <c r="N1" s="2" t="s">
        <v>100</v>
      </c>
      <c r="O1" s="2" t="s">
        <v>101</v>
      </c>
    </row>
    <row r="2" spans="1:15" x14ac:dyDescent="0.7">
      <c r="A2">
        <v>0</v>
      </c>
      <c r="B2" s="1">
        <v>43878.63958333333</v>
      </c>
      <c r="C2" s="1">
        <v>43878.639918981484</v>
      </c>
      <c r="D2" t="s">
        <v>23</v>
      </c>
      <c r="E2" t="s">
        <v>24</v>
      </c>
      <c r="F2" t="s">
        <v>5</v>
      </c>
      <c r="H2" s="2">
        <v>37.632972222222222</v>
      </c>
      <c r="I2" s="2">
        <v>141.01272222222221</v>
      </c>
      <c r="K2" s="2">
        <v>37.632951428571424</v>
      </c>
      <c r="L2" s="2">
        <v>141.01271634920636</v>
      </c>
      <c r="N2" s="2">
        <v>4.8872394672186299E-6</v>
      </c>
      <c r="O2" s="2">
        <v>3.1963540607493322E-6</v>
      </c>
    </row>
    <row r="3" spans="1:15" x14ac:dyDescent="0.7">
      <c r="A3">
        <v>5</v>
      </c>
      <c r="B3" s="1">
        <v>43878.640856481485</v>
      </c>
      <c r="C3" s="1">
        <v>43878.641203703701</v>
      </c>
      <c r="D3" t="s">
        <v>23</v>
      </c>
      <c r="E3" t="s">
        <v>25</v>
      </c>
      <c r="F3" t="s">
        <v>6</v>
      </c>
      <c r="H3" s="2">
        <v>37.632972222222222</v>
      </c>
      <c r="I3" s="2">
        <v>141.01275000000001</v>
      </c>
      <c r="K3" s="2">
        <v>37.632952777777795</v>
      </c>
      <c r="L3" s="2">
        <v>141.01276770833331</v>
      </c>
      <c r="N3" s="2">
        <v>2.6205503148107718E-6</v>
      </c>
      <c r="O3" s="2">
        <v>2.1804117964091186E-5</v>
      </c>
    </row>
    <row r="4" spans="1:15" x14ac:dyDescent="0.7">
      <c r="A4">
        <v>10</v>
      </c>
      <c r="B4" s="1">
        <v>43878.641898148147</v>
      </c>
      <c r="C4" s="1">
        <v>43878.642245370371</v>
      </c>
      <c r="D4" t="s">
        <v>23</v>
      </c>
      <c r="E4" t="s">
        <v>26</v>
      </c>
      <c r="F4" t="s">
        <v>7</v>
      </c>
      <c r="H4" s="2">
        <v>37.632972222222222</v>
      </c>
      <c r="I4" s="2">
        <v>141.01280555555556</v>
      </c>
      <c r="K4" s="2">
        <v>37.63296463768117</v>
      </c>
      <c r="L4" s="2">
        <v>141.01283963768117</v>
      </c>
      <c r="N4" s="2">
        <v>2.0238029046404483E-6</v>
      </c>
      <c r="O4" s="2">
        <v>3.6764205514821631E-6</v>
      </c>
    </row>
    <row r="5" spans="1:15" x14ac:dyDescent="0.7">
      <c r="A5">
        <v>15</v>
      </c>
      <c r="B5" s="1">
        <v>43878.642824074072</v>
      </c>
      <c r="C5" s="1">
        <v>43878.643171296295</v>
      </c>
      <c r="D5" t="s">
        <v>27</v>
      </c>
      <c r="E5" t="s">
        <v>28</v>
      </c>
      <c r="F5" t="s">
        <v>8</v>
      </c>
      <c r="H5" s="2">
        <v>37.633000000000003</v>
      </c>
      <c r="I5" s="2">
        <v>141.01286111111111</v>
      </c>
      <c r="K5" s="2">
        <v>37.632974404761896</v>
      </c>
      <c r="L5" s="2">
        <v>141.01287202380951</v>
      </c>
      <c r="N5" s="2">
        <v>3.3098663740169488E-6</v>
      </c>
      <c r="O5" s="2">
        <v>3.1921637282687143E-6</v>
      </c>
    </row>
    <row r="6" spans="1:15" x14ac:dyDescent="0.7">
      <c r="A6">
        <v>20</v>
      </c>
      <c r="B6" s="1">
        <v>43878.643750000003</v>
      </c>
      <c r="C6" s="1">
        <v>43878.644097222219</v>
      </c>
      <c r="D6" t="s">
        <v>29</v>
      </c>
      <c r="E6" t="s">
        <v>30</v>
      </c>
      <c r="F6" t="s">
        <v>9</v>
      </c>
      <c r="H6" s="2">
        <v>37.633027777777777</v>
      </c>
      <c r="I6" s="2">
        <v>141.01288888888888</v>
      </c>
      <c r="K6" s="2">
        <v>37.632958888888894</v>
      </c>
      <c r="L6" s="2">
        <v>141.01292511111112</v>
      </c>
      <c r="N6" s="2">
        <v>3.3147630854027144E-6</v>
      </c>
      <c r="O6" s="2">
        <v>3.3035708318529505E-6</v>
      </c>
    </row>
    <row r="7" spans="1:15" x14ac:dyDescent="0.7">
      <c r="A7">
        <v>25</v>
      </c>
      <c r="B7" s="1">
        <v>43878.644791666666</v>
      </c>
      <c r="C7" s="1">
        <v>43878.645138888889</v>
      </c>
      <c r="D7" t="s">
        <v>27</v>
      </c>
      <c r="E7" t="s">
        <v>31</v>
      </c>
      <c r="F7" t="s">
        <v>10</v>
      </c>
      <c r="H7" s="2">
        <v>37.633000000000003</v>
      </c>
      <c r="I7" s="2">
        <v>141.01297222222223</v>
      </c>
      <c r="K7" s="2">
        <v>37.632964423076935</v>
      </c>
      <c r="L7" s="2">
        <v>141.01297557692308</v>
      </c>
      <c r="N7" s="2">
        <v>3.8101951529922349E-6</v>
      </c>
      <c r="O7" s="2">
        <v>2.6531028348181512E-6</v>
      </c>
    </row>
    <row r="8" spans="1:15" x14ac:dyDescent="0.7">
      <c r="A8">
        <v>30</v>
      </c>
      <c r="B8" s="1">
        <v>43878.64571759259</v>
      </c>
      <c r="C8" s="1">
        <v>43878.646064814813</v>
      </c>
      <c r="D8" t="s">
        <v>27</v>
      </c>
      <c r="E8" t="s">
        <v>32</v>
      </c>
      <c r="F8" t="s">
        <v>11</v>
      </c>
      <c r="H8" s="2">
        <v>37.633000000000003</v>
      </c>
      <c r="I8" s="2">
        <v>141.01302777777778</v>
      </c>
      <c r="K8" s="2">
        <v>37.63294472222222</v>
      </c>
      <c r="L8" s="2">
        <v>141.01304861111109</v>
      </c>
      <c r="N8" s="2">
        <v>2.437490109012412E-6</v>
      </c>
      <c r="O8" s="2">
        <v>5.8860055774559623E-6</v>
      </c>
    </row>
    <row r="9" spans="1:15" x14ac:dyDescent="0.7">
      <c r="A9">
        <v>35</v>
      </c>
      <c r="B9" s="1">
        <v>43878.64675925926</v>
      </c>
      <c r="C9" s="1">
        <v>43878.647106481483</v>
      </c>
      <c r="D9" t="s">
        <v>27</v>
      </c>
      <c r="E9" t="s">
        <v>33</v>
      </c>
      <c r="F9" t="s">
        <v>12</v>
      </c>
      <c r="H9" s="2">
        <v>37.633000000000003</v>
      </c>
      <c r="I9" s="2">
        <v>141.01308333333333</v>
      </c>
      <c r="K9" s="2">
        <v>37.632967142857147</v>
      </c>
      <c r="L9" s="2">
        <v>141.01309166666667</v>
      </c>
      <c r="N9" s="2">
        <v>8.3909572310151062E-6</v>
      </c>
      <c r="O9" s="2">
        <v>1.8898223638555922E-6</v>
      </c>
    </row>
    <row r="10" spans="1:15" x14ac:dyDescent="0.7">
      <c r="A10">
        <v>40</v>
      </c>
      <c r="B10" s="1">
        <v>43878.647800925923</v>
      </c>
      <c r="C10" s="1">
        <v>43878.648148148146</v>
      </c>
      <c r="D10" t="s">
        <v>27</v>
      </c>
      <c r="E10" t="s">
        <v>34</v>
      </c>
      <c r="F10" t="s">
        <v>13</v>
      </c>
      <c r="H10" s="2">
        <v>37.633000000000003</v>
      </c>
      <c r="I10" s="2">
        <v>141.0131111111111</v>
      </c>
      <c r="K10" s="2">
        <v>37.632951956521751</v>
      </c>
      <c r="L10" s="2">
        <v>141.0131662318841</v>
      </c>
      <c r="N10" s="2">
        <v>5.1464582359252801E-6</v>
      </c>
      <c r="O10" s="2">
        <v>2.9577292213067662E-6</v>
      </c>
    </row>
    <row r="11" spans="1:15" x14ac:dyDescent="0.7">
      <c r="A11">
        <v>45</v>
      </c>
      <c r="B11" s="1">
        <v>43878.648900462962</v>
      </c>
      <c r="C11" s="1">
        <v>43878.649247685185</v>
      </c>
      <c r="D11" t="s">
        <v>27</v>
      </c>
      <c r="E11" t="s">
        <v>35</v>
      </c>
      <c r="F11" t="s">
        <v>14</v>
      </c>
      <c r="H11" s="2">
        <v>37.633000000000003</v>
      </c>
      <c r="I11" s="2">
        <v>141.01316666666668</v>
      </c>
      <c r="K11" s="2">
        <v>37.632973768115932</v>
      </c>
      <c r="L11" s="2">
        <v>141.013234057971</v>
      </c>
      <c r="N11" s="2">
        <v>4.510251106864886E-6</v>
      </c>
      <c r="O11" s="2">
        <v>2.6387161540215843E-6</v>
      </c>
    </row>
    <row r="12" spans="1:15" x14ac:dyDescent="0.7">
      <c r="A12">
        <v>50</v>
      </c>
      <c r="B12" s="1">
        <v>43878.650057870371</v>
      </c>
      <c r="C12" s="1">
        <v>43878.650405092594</v>
      </c>
      <c r="D12" t="s">
        <v>23</v>
      </c>
      <c r="E12" t="s">
        <v>36</v>
      </c>
      <c r="F12" t="s">
        <v>15</v>
      </c>
      <c r="H12" s="2">
        <v>37.632972222222222</v>
      </c>
      <c r="I12" s="2">
        <v>141.01325</v>
      </c>
      <c r="K12" s="2">
        <v>37.632945277777758</v>
      </c>
      <c r="L12" s="2">
        <v>141.01326965277775</v>
      </c>
      <c r="N12" s="2">
        <v>2.6205503162543548E-6</v>
      </c>
      <c r="O12" s="2">
        <v>3.8783338920807573E-6</v>
      </c>
    </row>
    <row r="13" spans="1:15" x14ac:dyDescent="0.7">
      <c r="A13">
        <v>55</v>
      </c>
      <c r="B13" s="1">
        <v>43878.651099537034</v>
      </c>
      <c r="C13" s="1">
        <v>43878.651446759257</v>
      </c>
      <c r="D13" t="s">
        <v>23</v>
      </c>
      <c r="E13" t="s">
        <v>37</v>
      </c>
      <c r="F13" t="s">
        <v>16</v>
      </c>
      <c r="H13" s="2">
        <v>37.632972222222222</v>
      </c>
      <c r="I13" s="2">
        <v>141.01330555555555</v>
      </c>
      <c r="K13" s="2">
        <v>37.632968157894744</v>
      </c>
      <c r="L13" s="2">
        <v>141.01332938596491</v>
      </c>
      <c r="N13" s="2">
        <v>5.5116765162818333E-6</v>
      </c>
      <c r="O13" s="2">
        <v>6.194001213130623E-6</v>
      </c>
    </row>
    <row r="14" spans="1:15" x14ac:dyDescent="0.7">
      <c r="A14">
        <v>60</v>
      </c>
      <c r="B14" s="1">
        <v>43878.652314814812</v>
      </c>
      <c r="C14" s="1">
        <v>43878.652662037035</v>
      </c>
      <c r="D14" t="s">
        <v>23</v>
      </c>
      <c r="E14" t="s">
        <v>38</v>
      </c>
      <c r="F14" t="s">
        <v>17</v>
      </c>
      <c r="H14" s="2">
        <v>37.632972222222222</v>
      </c>
      <c r="I14" s="2">
        <v>141.01336111111112</v>
      </c>
      <c r="K14" s="2">
        <v>37.632934166666651</v>
      </c>
      <c r="L14" s="2">
        <v>141.01338033333334</v>
      </c>
      <c r="N14" s="2">
        <v>4.4565806512195222E-6</v>
      </c>
      <c r="O14" s="2">
        <v>5.2068331139504853E-6</v>
      </c>
    </row>
    <row r="15" spans="1:15" x14ac:dyDescent="0.7">
      <c r="A15">
        <v>65</v>
      </c>
      <c r="B15" s="1">
        <v>43878.653298611112</v>
      </c>
      <c r="C15" s="1">
        <v>43878.653645833336</v>
      </c>
      <c r="D15" t="s">
        <v>23</v>
      </c>
      <c r="E15" t="s">
        <v>39</v>
      </c>
      <c r="F15" t="s">
        <v>18</v>
      </c>
      <c r="H15" s="2">
        <v>37.632972222222222</v>
      </c>
      <c r="I15" s="2">
        <v>141.01341666666667</v>
      </c>
      <c r="K15" s="2">
        <v>37.63294354166667</v>
      </c>
      <c r="L15" s="2">
        <v>141.01343201388894</v>
      </c>
      <c r="N15" s="2">
        <v>4.8665644031676073E-6</v>
      </c>
      <c r="O15" s="2">
        <v>5.6309981713611598E-6</v>
      </c>
    </row>
    <row r="16" spans="1:15" x14ac:dyDescent="0.7">
      <c r="A16">
        <v>70</v>
      </c>
      <c r="B16" s="1">
        <v>43878.654282407406</v>
      </c>
      <c r="C16" s="1">
        <v>43878.654629629629</v>
      </c>
      <c r="D16" t="s">
        <v>23</v>
      </c>
      <c r="E16" t="s">
        <v>40</v>
      </c>
      <c r="F16" t="s">
        <v>19</v>
      </c>
      <c r="H16" s="2">
        <v>37.632972222222222</v>
      </c>
      <c r="I16" s="2">
        <v>141.01344444444445</v>
      </c>
      <c r="K16" s="2">
        <v>37.632936140350864</v>
      </c>
      <c r="L16" s="2">
        <v>141.01351245614038</v>
      </c>
      <c r="N16" s="2">
        <v>6.5125302429290513E-6</v>
      </c>
      <c r="O16" s="2">
        <v>5.9816586429895881E-6</v>
      </c>
    </row>
    <row r="17" spans="1:15" x14ac:dyDescent="0.7">
      <c r="A17">
        <v>75</v>
      </c>
      <c r="B17" s="1">
        <v>43878.655439814815</v>
      </c>
      <c r="C17" s="1">
        <v>43878.655787037038</v>
      </c>
      <c r="D17" t="s">
        <v>23</v>
      </c>
      <c r="E17" t="s">
        <v>41</v>
      </c>
      <c r="F17" t="s">
        <v>20</v>
      </c>
      <c r="H17" s="2">
        <v>37.632972222222222</v>
      </c>
      <c r="I17" s="2">
        <v>141.01349999999999</v>
      </c>
      <c r="K17" s="2">
        <v>37.63292388888889</v>
      </c>
      <c r="L17" s="2">
        <v>141.01356603174605</v>
      </c>
      <c r="N17" s="2">
        <v>5.9613688745411623E-6</v>
      </c>
      <c r="O17" s="2">
        <v>8.3329553964049191E-6</v>
      </c>
    </row>
    <row r="18" spans="1:15" x14ac:dyDescent="0.7">
      <c r="A18">
        <v>80</v>
      </c>
      <c r="B18" s="1">
        <v>43878.656365740739</v>
      </c>
      <c r="C18" s="1">
        <v>43878.656712962962</v>
      </c>
      <c r="D18" t="s">
        <v>23</v>
      </c>
      <c r="E18" t="s">
        <v>42</v>
      </c>
      <c r="F18" t="s">
        <v>21</v>
      </c>
      <c r="H18" s="2">
        <v>37.632972222222222</v>
      </c>
      <c r="I18" s="2">
        <v>141.01358333333334</v>
      </c>
      <c r="K18" s="2">
        <v>37.632905217391311</v>
      </c>
      <c r="L18" s="2">
        <v>141.01361768115947</v>
      </c>
      <c r="N18" s="2">
        <v>8.0952116203897108E-6</v>
      </c>
      <c r="O18" s="2">
        <v>4.4161301403340152E-6</v>
      </c>
    </row>
    <row r="24" spans="1:15" s="6" customFormat="1" x14ac:dyDescent="0.7">
      <c r="H24" s="2"/>
      <c r="I24" s="2"/>
      <c r="J24" s="2"/>
      <c r="K24" s="2"/>
      <c r="L24" s="2"/>
      <c r="M24" s="2"/>
      <c r="N24" s="2"/>
      <c r="O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uto_analysis.auto_analysis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A9EE2-C8C7-404A-AC91-5D73A120F8BA}">
  <sheetPr codeName="Sheet7"/>
  <dimension ref="A1:Y366"/>
  <sheetViews>
    <sheetView workbookViewId="0"/>
  </sheetViews>
  <sheetFormatPr defaultRowHeight="17.649999999999999" x14ac:dyDescent="0.7"/>
  <cols>
    <col min="2" max="2" width="9" style="3"/>
    <col min="4" max="4" width="10.5625" style="2" customWidth="1"/>
    <col min="6" max="6" width="10.5625" style="2" customWidth="1"/>
    <col min="8" max="8" width="10.5625" style="4" customWidth="1"/>
    <col min="9" max="9" width="10.5625" style="5" customWidth="1"/>
    <col min="15" max="19" width="9" style="2"/>
    <col min="20" max="22" width="9" style="5"/>
    <col min="23" max="25" width="9" style="2"/>
  </cols>
  <sheetData>
    <row r="1" spans="1:25" x14ac:dyDescent="0.7">
      <c r="B1" s="3" t="s">
        <v>43</v>
      </c>
      <c r="C1" t="s">
        <v>44</v>
      </c>
      <c r="D1" s="2" t="s">
        <v>45</v>
      </c>
      <c r="E1" t="s">
        <v>46</v>
      </c>
      <c r="F1" s="2" t="s">
        <v>47</v>
      </c>
      <c r="G1" t="s">
        <v>48</v>
      </c>
      <c r="H1" s="4" t="s">
        <v>49</v>
      </c>
      <c r="I1" s="5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s="2" t="s">
        <v>92</v>
      </c>
      <c r="P1" s="2" t="s">
        <v>93</v>
      </c>
      <c r="Q1" s="2" t="s">
        <v>94</v>
      </c>
      <c r="R1" s="2" t="s">
        <v>95</v>
      </c>
      <c r="S1" s="2" t="s">
        <v>102</v>
      </c>
      <c r="T1" s="5" t="s">
        <v>103</v>
      </c>
      <c r="U1" s="5" t="s">
        <v>104</v>
      </c>
      <c r="V1" s="5" t="s">
        <v>111</v>
      </c>
      <c r="W1" s="2" t="s">
        <v>105</v>
      </c>
      <c r="X1" s="2" t="s">
        <v>106</v>
      </c>
      <c r="Y1" s="2" t="s">
        <v>107</v>
      </c>
    </row>
    <row r="2" spans="1:25" x14ac:dyDescent="0.7">
      <c r="A2" t="s">
        <v>56</v>
      </c>
      <c r="B2" s="3">
        <v>0.63958333333333328</v>
      </c>
      <c r="C2" t="s">
        <v>57</v>
      </c>
      <c r="D2" s="2">
        <v>37.632961666666667</v>
      </c>
      <c r="E2" t="s">
        <v>58</v>
      </c>
      <c r="F2" s="2">
        <v>141.01271833333334</v>
      </c>
      <c r="G2" t="s">
        <v>59</v>
      </c>
      <c r="H2" s="4">
        <v>0</v>
      </c>
      <c r="I2" s="5">
        <v>93.2</v>
      </c>
      <c r="J2">
        <v>170220</v>
      </c>
      <c r="M2" t="s">
        <v>57</v>
      </c>
      <c r="N2" t="s">
        <v>90</v>
      </c>
      <c r="O2" s="2">
        <v>1.0238095242698364E-5</v>
      </c>
      <c r="P2" s="2">
        <v>1.9841269818243745E-6</v>
      </c>
      <c r="Q2" s="2">
        <v>1.1404997706413269</v>
      </c>
      <c r="R2" s="2">
        <v>0.19008329510688782</v>
      </c>
      <c r="S2" s="2">
        <v>1.1562315454231429</v>
      </c>
      <c r="T2" s="5">
        <f t="shared" ref="T2:V2" si="0">IFERROR(MROUND(Q2,0.2),-MROUND(ABS(Q2),0.2))</f>
        <v>1.2000000000000002</v>
      </c>
      <c r="U2" s="5">
        <f t="shared" si="0"/>
        <v>0.2</v>
      </c>
      <c r="V2" s="5">
        <f t="shared" si="0"/>
        <v>1.2000000000000002</v>
      </c>
      <c r="W2" s="2">
        <f t="shared" ref="W2:Y2" si="1">Q2^2</f>
        <v>1.3007397268329193</v>
      </c>
      <c r="X2" s="2">
        <f t="shared" si="1"/>
        <v>3.6131659078692202E-2</v>
      </c>
      <c r="Y2" s="2">
        <f t="shared" si="1"/>
        <v>1.3368713866315893</v>
      </c>
    </row>
    <row r="3" spans="1:25" x14ac:dyDescent="0.7">
      <c r="A3" t="s">
        <v>56</v>
      </c>
      <c r="B3" s="3">
        <v>0.63959490740740743</v>
      </c>
      <c r="C3" t="s">
        <v>57</v>
      </c>
      <c r="D3" s="2">
        <v>37.632960000000004</v>
      </c>
      <c r="E3" t="s">
        <v>58</v>
      </c>
      <c r="F3" s="2">
        <v>141.01271833333334</v>
      </c>
      <c r="G3" t="s">
        <v>59</v>
      </c>
      <c r="H3" s="4">
        <v>0</v>
      </c>
      <c r="I3" s="5">
        <v>93.2</v>
      </c>
      <c r="J3">
        <v>170220</v>
      </c>
      <c r="M3" t="s">
        <v>57</v>
      </c>
      <c r="N3" t="s">
        <v>90</v>
      </c>
      <c r="O3" s="2">
        <v>8.5714285802396262E-6</v>
      </c>
      <c r="P3" s="2">
        <v>1.9841269818243745E-6</v>
      </c>
      <c r="Q3" s="2">
        <v>0.95515673634945664</v>
      </c>
      <c r="R3" s="2">
        <v>0.19008329510688782</v>
      </c>
      <c r="S3" s="2">
        <v>0.96923843075680649</v>
      </c>
      <c r="T3" s="5">
        <f t="shared" ref="T3:V3" si="2">IFERROR(MROUND(Q3,0.2),-MROUND(ABS(Q3),0.2))</f>
        <v>1</v>
      </c>
      <c r="U3" s="5">
        <f t="shared" si="2"/>
        <v>0.2</v>
      </c>
      <c r="V3" s="5">
        <f t="shared" si="2"/>
        <v>1</v>
      </c>
      <c r="W3" s="2">
        <f t="shared" ref="W3:Y3" si="3">Q3^2</f>
        <v>0.9123243909937454</v>
      </c>
      <c r="X3" s="2">
        <f t="shared" si="3"/>
        <v>3.6131659078692202E-2</v>
      </c>
      <c r="Y3" s="2">
        <f t="shared" si="3"/>
        <v>0.93942313565591673</v>
      </c>
    </row>
    <row r="4" spans="1:25" x14ac:dyDescent="0.7">
      <c r="A4" t="s">
        <v>56</v>
      </c>
      <c r="B4" s="3">
        <v>0.63962962962962966</v>
      </c>
      <c r="C4" t="s">
        <v>57</v>
      </c>
      <c r="D4" s="2">
        <v>37.632955000000003</v>
      </c>
      <c r="E4" t="s">
        <v>58</v>
      </c>
      <c r="F4" s="2">
        <v>141.01272166666666</v>
      </c>
      <c r="G4" t="s">
        <v>59</v>
      </c>
      <c r="H4" s="4">
        <v>0</v>
      </c>
      <c r="I4" s="5">
        <v>93.2</v>
      </c>
      <c r="J4">
        <v>170220</v>
      </c>
      <c r="M4" t="s">
        <v>57</v>
      </c>
      <c r="N4" t="s">
        <v>70</v>
      </c>
      <c r="O4" s="2">
        <v>3.5714285786525579E-6</v>
      </c>
      <c r="P4" s="2">
        <v>5.3174603067418502E-6</v>
      </c>
      <c r="Q4" s="2">
        <v>0.40322756106130098</v>
      </c>
      <c r="R4" s="2">
        <v>0.47520823776721954</v>
      </c>
      <c r="S4" s="2">
        <v>0.61594027313272059</v>
      </c>
      <c r="T4" s="5">
        <f t="shared" ref="T4:V4" si="4">IFERROR(MROUND(Q4,0.2),-MROUND(ABS(Q4),0.2))</f>
        <v>0.4</v>
      </c>
      <c r="U4" s="5">
        <f t="shared" si="4"/>
        <v>0.4</v>
      </c>
      <c r="V4" s="5">
        <f t="shared" si="4"/>
        <v>0.60000000000000009</v>
      </c>
      <c r="W4" s="2">
        <f t="shared" ref="W4:Y4" si="5">Q4^2</f>
        <v>0.16259246599944521</v>
      </c>
      <c r="X4" s="2">
        <f t="shared" si="5"/>
        <v>0.22582286924182626</v>
      </c>
      <c r="Y4" s="2">
        <f t="shared" si="5"/>
        <v>0.37938242006681044</v>
      </c>
    </row>
    <row r="5" spans="1:25" x14ac:dyDescent="0.7">
      <c r="A5" t="s">
        <v>56</v>
      </c>
      <c r="B5" s="3">
        <v>0.6396412037037037</v>
      </c>
      <c r="C5" t="s">
        <v>57</v>
      </c>
      <c r="D5" s="2">
        <v>37.632956666666672</v>
      </c>
      <c r="E5" t="s">
        <v>58</v>
      </c>
      <c r="F5" s="2">
        <v>141.01272166666666</v>
      </c>
      <c r="G5" t="s">
        <v>59</v>
      </c>
      <c r="H5" s="4">
        <v>0</v>
      </c>
      <c r="I5" s="5">
        <v>93.2</v>
      </c>
      <c r="J5">
        <v>170220</v>
      </c>
      <c r="M5" t="s">
        <v>57</v>
      </c>
      <c r="N5" t="s">
        <v>62</v>
      </c>
      <c r="O5" s="2">
        <v>5.2380952482167231E-6</v>
      </c>
      <c r="P5" s="2">
        <v>5.3174603067418502E-6</v>
      </c>
      <c r="Q5" s="2">
        <v>0.58587606309334395</v>
      </c>
      <c r="R5" s="2">
        <v>0.47520823776721954</v>
      </c>
      <c r="S5" s="2">
        <v>0.74835868041313058</v>
      </c>
      <c r="T5" s="5">
        <f t="shared" ref="T5:V5" si="6">IFERROR(MROUND(Q5,0.2),-MROUND(ABS(Q5),0.2))</f>
        <v>0.60000000000000009</v>
      </c>
      <c r="U5" s="5">
        <f t="shared" si="6"/>
        <v>0.4</v>
      </c>
      <c r="V5" s="5">
        <f t="shared" si="6"/>
        <v>0.8</v>
      </c>
      <c r="W5" s="2">
        <f t="shared" ref="W5:Y5" si="7">Q5^2</f>
        <v>0.34325076130575594</v>
      </c>
      <c r="X5" s="2">
        <f t="shared" si="7"/>
        <v>0.22582286924182626</v>
      </c>
      <c r="Y5" s="2">
        <f t="shared" si="7"/>
        <v>0.56004071454968207</v>
      </c>
    </row>
    <row r="6" spans="1:25" x14ac:dyDescent="0.7">
      <c r="A6" t="s">
        <v>56</v>
      </c>
      <c r="B6" s="3">
        <v>0.63965277777777774</v>
      </c>
      <c r="C6" t="s">
        <v>57</v>
      </c>
      <c r="D6" s="2">
        <v>37.632956666666672</v>
      </c>
      <c r="E6" t="s">
        <v>58</v>
      </c>
      <c r="F6" s="2">
        <v>141.01272</v>
      </c>
      <c r="G6" t="s">
        <v>59</v>
      </c>
      <c r="H6" s="4">
        <v>0</v>
      </c>
      <c r="I6" s="5">
        <v>93.2</v>
      </c>
      <c r="J6">
        <v>170220</v>
      </c>
      <c r="M6" t="s">
        <v>57</v>
      </c>
      <c r="N6" t="s">
        <v>66</v>
      </c>
      <c r="O6" s="2">
        <v>5.2380952482167231E-6</v>
      </c>
      <c r="P6" s="2">
        <v>3.6507936442831124E-6</v>
      </c>
      <c r="Q6" s="2">
        <v>0.58587606309334395</v>
      </c>
      <c r="R6" s="2">
        <v>0.32923392455099521</v>
      </c>
      <c r="S6" s="2">
        <v>0.66529153287410736</v>
      </c>
      <c r="T6" s="5">
        <f t="shared" ref="T6:V6" si="8">IFERROR(MROUND(Q6,0.2),-MROUND(ABS(Q6),0.2))</f>
        <v>0.60000000000000009</v>
      </c>
      <c r="U6" s="5">
        <f t="shared" si="8"/>
        <v>0.4</v>
      </c>
      <c r="V6" s="5">
        <f t="shared" si="8"/>
        <v>0.60000000000000009</v>
      </c>
      <c r="W6" s="2">
        <f t="shared" ref="W6:Y6" si="9">Q6^2</f>
        <v>0.34325076130575594</v>
      </c>
      <c r="X6" s="2">
        <f t="shared" si="9"/>
        <v>0.10839497707525041</v>
      </c>
      <c r="Y6" s="2">
        <f t="shared" si="9"/>
        <v>0.44261282371397948</v>
      </c>
    </row>
    <row r="7" spans="1:25" x14ac:dyDescent="0.7">
      <c r="A7" t="s">
        <v>56</v>
      </c>
      <c r="B7" s="3">
        <v>0.63966435185185189</v>
      </c>
      <c r="C7" t="s">
        <v>57</v>
      </c>
      <c r="D7" s="2">
        <v>37.632956666666672</v>
      </c>
      <c r="E7" t="s">
        <v>58</v>
      </c>
      <c r="F7" s="2">
        <v>141.01271833333334</v>
      </c>
      <c r="G7" t="s">
        <v>59</v>
      </c>
      <c r="H7" s="4">
        <v>0</v>
      </c>
      <c r="I7" s="5">
        <v>93.2</v>
      </c>
      <c r="J7">
        <v>170220</v>
      </c>
      <c r="M7" t="s">
        <v>57</v>
      </c>
      <c r="N7" t="s">
        <v>62</v>
      </c>
      <c r="O7" s="2">
        <v>5.2380952482167231E-6</v>
      </c>
      <c r="P7" s="2">
        <v>1.9841269818243745E-6</v>
      </c>
      <c r="Q7" s="2">
        <v>0.58587606309334395</v>
      </c>
      <c r="R7" s="2">
        <v>0.19008329510688782</v>
      </c>
      <c r="S7" s="2">
        <v>0.60856347612988437</v>
      </c>
      <c r="T7" s="5">
        <f t="shared" ref="T7:V7" si="10">IFERROR(MROUND(Q7,0.2),-MROUND(ABS(Q7),0.2))</f>
        <v>0.60000000000000009</v>
      </c>
      <c r="U7" s="5">
        <f t="shared" si="10"/>
        <v>0.2</v>
      </c>
      <c r="V7" s="5">
        <f t="shared" si="10"/>
        <v>0.60000000000000009</v>
      </c>
      <c r="W7" s="2">
        <f t="shared" ref="W7:Y7" si="11">Q7^2</f>
        <v>0.34325076130575594</v>
      </c>
      <c r="X7" s="2">
        <f t="shared" si="11"/>
        <v>3.6131659078692202E-2</v>
      </c>
      <c r="Y7" s="2">
        <f t="shared" si="11"/>
        <v>0.37034950447928833</v>
      </c>
    </row>
    <row r="8" spans="1:25" x14ac:dyDescent="0.7">
      <c r="A8" t="s">
        <v>56</v>
      </c>
      <c r="B8" s="3">
        <v>0.63967592592592593</v>
      </c>
      <c r="C8" t="s">
        <v>57</v>
      </c>
      <c r="D8" s="2">
        <v>37.632956666666672</v>
      </c>
      <c r="E8" t="s">
        <v>58</v>
      </c>
      <c r="F8" s="2">
        <v>141.01272</v>
      </c>
      <c r="G8" t="s">
        <v>59</v>
      </c>
      <c r="H8" s="4">
        <v>0</v>
      </c>
      <c r="I8" s="5">
        <v>93.2</v>
      </c>
      <c r="J8">
        <v>170220</v>
      </c>
      <c r="M8" t="s">
        <v>57</v>
      </c>
      <c r="N8" t="s">
        <v>63</v>
      </c>
      <c r="O8" s="2">
        <v>5.2380952482167231E-6</v>
      </c>
      <c r="P8" s="2">
        <v>3.6507936442831124E-6</v>
      </c>
      <c r="Q8" s="2">
        <v>0.58587606309334395</v>
      </c>
      <c r="R8" s="2">
        <v>0.32923392455099521</v>
      </c>
      <c r="S8" s="2">
        <v>0.66529153287410736</v>
      </c>
      <c r="T8" s="5">
        <f t="shared" ref="T8:V8" si="12">IFERROR(MROUND(Q8,0.2),-MROUND(ABS(Q8),0.2))</f>
        <v>0.60000000000000009</v>
      </c>
      <c r="U8" s="5">
        <f t="shared" si="12"/>
        <v>0.4</v>
      </c>
      <c r="V8" s="5">
        <f t="shared" si="12"/>
        <v>0.60000000000000009</v>
      </c>
      <c r="W8" s="2">
        <f t="shared" ref="W8:Y8" si="13">Q8^2</f>
        <v>0.34325076130575594</v>
      </c>
      <c r="X8" s="2">
        <f t="shared" si="13"/>
        <v>0.10839497707525041</v>
      </c>
      <c r="Y8" s="2">
        <f t="shared" si="13"/>
        <v>0.44261282371397948</v>
      </c>
    </row>
    <row r="9" spans="1:25" x14ac:dyDescent="0.7">
      <c r="A9" t="s">
        <v>56</v>
      </c>
      <c r="B9" s="3">
        <v>0.63968749999999996</v>
      </c>
      <c r="C9" t="s">
        <v>57</v>
      </c>
      <c r="D9" s="2">
        <v>37.632955000000003</v>
      </c>
      <c r="E9" t="s">
        <v>58</v>
      </c>
      <c r="F9" s="2">
        <v>141.01272</v>
      </c>
      <c r="G9" t="s">
        <v>59</v>
      </c>
      <c r="H9" s="4">
        <v>0</v>
      </c>
      <c r="I9" s="5">
        <v>93.2</v>
      </c>
      <c r="J9">
        <v>170220</v>
      </c>
      <c r="M9" t="s">
        <v>57</v>
      </c>
      <c r="N9" t="s">
        <v>67</v>
      </c>
      <c r="O9" s="2">
        <v>3.5714285786525579E-6</v>
      </c>
      <c r="P9" s="2">
        <v>3.6507936442831124E-6</v>
      </c>
      <c r="Q9" s="2">
        <v>0.40322756106130098</v>
      </c>
      <c r="R9" s="2">
        <v>0.32923392455099521</v>
      </c>
      <c r="S9" s="2">
        <v>0.51181493468277584</v>
      </c>
      <c r="T9" s="5">
        <f t="shared" ref="T9:V9" si="14">IFERROR(MROUND(Q9,0.2),-MROUND(ABS(Q9),0.2))</f>
        <v>0.4</v>
      </c>
      <c r="U9" s="5">
        <f t="shared" si="14"/>
        <v>0.4</v>
      </c>
      <c r="V9" s="5">
        <f t="shared" si="14"/>
        <v>0.60000000000000009</v>
      </c>
      <c r="W9" s="2">
        <f t="shared" ref="W9:Y9" si="15">Q9^2</f>
        <v>0.16259246599944521</v>
      </c>
      <c r="X9" s="2">
        <f t="shared" si="15"/>
        <v>0.10839497707525041</v>
      </c>
      <c r="Y9" s="2">
        <f t="shared" si="15"/>
        <v>0.26195452736433411</v>
      </c>
    </row>
    <row r="10" spans="1:25" x14ac:dyDescent="0.7">
      <c r="A10" t="s">
        <v>56</v>
      </c>
      <c r="B10" s="3">
        <v>0.63973379629629623</v>
      </c>
      <c r="C10" t="s">
        <v>57</v>
      </c>
      <c r="D10" s="2">
        <v>37.632950000000001</v>
      </c>
      <c r="E10" t="s">
        <v>58</v>
      </c>
      <c r="F10" s="2">
        <v>141.01271666666668</v>
      </c>
      <c r="G10" t="s">
        <v>59</v>
      </c>
      <c r="H10" s="4">
        <v>0</v>
      </c>
      <c r="I10" s="5">
        <v>93.2</v>
      </c>
      <c r="J10">
        <v>170220</v>
      </c>
      <c r="M10" t="s">
        <v>57</v>
      </c>
      <c r="N10" t="s">
        <v>62</v>
      </c>
      <c r="O10" s="2">
        <v>-1.4285714229345103E-6</v>
      </c>
      <c r="P10" s="2">
        <v>3.1746031936563668E-7</v>
      </c>
      <c r="Q10" s="2">
        <v>-0.1646169622754976</v>
      </c>
      <c r="R10" s="2">
        <v>9.5041647553443909E-2</v>
      </c>
      <c r="S10" s="2">
        <v>0.1646169622754976</v>
      </c>
      <c r="T10" s="5">
        <f t="shared" ref="T10:V10" si="16">IFERROR(MROUND(Q10,0.2),-MROUND(ABS(Q10),0.2))</f>
        <v>-0.2</v>
      </c>
      <c r="U10" s="5">
        <f t="shared" si="16"/>
        <v>0</v>
      </c>
      <c r="V10" s="5">
        <f t="shared" si="16"/>
        <v>0.2</v>
      </c>
      <c r="W10" s="2">
        <f t="shared" ref="W10:Y10" si="17">Q10^2</f>
        <v>2.7098744268812602E-2</v>
      </c>
      <c r="X10" s="2">
        <f t="shared" si="17"/>
        <v>9.0329147696730505E-3</v>
      </c>
      <c r="Y10" s="2">
        <f t="shared" si="17"/>
        <v>2.7098744268812602E-2</v>
      </c>
    </row>
    <row r="11" spans="1:25" x14ac:dyDescent="0.7">
      <c r="A11" t="s">
        <v>56</v>
      </c>
      <c r="B11" s="3">
        <v>0.63974537037037038</v>
      </c>
      <c r="C11" t="s">
        <v>57</v>
      </c>
      <c r="D11" s="2">
        <v>37.632948333333339</v>
      </c>
      <c r="E11" t="s">
        <v>58</v>
      </c>
      <c r="F11" s="2">
        <v>141.01271499999999</v>
      </c>
      <c r="G11" t="s">
        <v>59</v>
      </c>
      <c r="H11" s="4">
        <v>0</v>
      </c>
      <c r="I11" s="5">
        <v>93.2</v>
      </c>
      <c r="J11">
        <v>170220</v>
      </c>
      <c r="M11" t="s">
        <v>57</v>
      </c>
      <c r="N11" t="s">
        <v>69</v>
      </c>
      <c r="O11" s="2">
        <v>-3.0952380853932482E-6</v>
      </c>
      <c r="P11" s="2">
        <v>-1.3492063715148106E-6</v>
      </c>
      <c r="Q11" s="2">
        <v>-0.34267753328923733</v>
      </c>
      <c r="R11" s="2">
        <v>-0.13440918607627972</v>
      </c>
      <c r="S11" s="2">
        <v>0.36809471724311571</v>
      </c>
      <c r="T11" s="5">
        <f t="shared" ref="T11:V11" si="18">IFERROR(MROUND(Q11,0.2),-MROUND(ABS(Q11),0.2))</f>
        <v>-0.4</v>
      </c>
      <c r="U11" s="5">
        <f t="shared" si="18"/>
        <v>-0.2</v>
      </c>
      <c r="V11" s="5">
        <f t="shared" si="18"/>
        <v>0.4</v>
      </c>
      <c r="W11" s="2">
        <f t="shared" ref="W11:Y11" si="19">Q11^2</f>
        <v>0.11742789182119637</v>
      </c>
      <c r="X11" s="2">
        <f t="shared" si="19"/>
        <v>1.8065829301687986E-2</v>
      </c>
      <c r="Y11" s="2">
        <f t="shared" si="19"/>
        <v>0.13549372086228931</v>
      </c>
    </row>
    <row r="12" spans="1:25" x14ac:dyDescent="0.7">
      <c r="A12" t="s">
        <v>56</v>
      </c>
      <c r="B12" s="3">
        <v>0.63975694444444442</v>
      </c>
      <c r="C12" t="s">
        <v>57</v>
      </c>
      <c r="D12" s="2">
        <v>37.632948333333339</v>
      </c>
      <c r="E12" t="s">
        <v>58</v>
      </c>
      <c r="F12" s="2">
        <v>141.01271499999999</v>
      </c>
      <c r="G12" t="s">
        <v>59</v>
      </c>
      <c r="H12" s="4">
        <v>0</v>
      </c>
      <c r="I12" s="5">
        <v>93.2</v>
      </c>
      <c r="J12">
        <v>170220</v>
      </c>
      <c r="M12" t="s">
        <v>57</v>
      </c>
      <c r="N12" t="s">
        <v>70</v>
      </c>
      <c r="O12" s="2">
        <v>-3.0952380853932482E-6</v>
      </c>
      <c r="P12" s="2">
        <v>-1.3492063715148106E-6</v>
      </c>
      <c r="Q12" s="2">
        <v>-0.34267753328923733</v>
      </c>
      <c r="R12" s="2">
        <v>-0.13440918607627972</v>
      </c>
      <c r="S12" s="2">
        <v>0.36809471724311571</v>
      </c>
      <c r="T12" s="5">
        <f t="shared" ref="T12:V12" si="20">IFERROR(MROUND(Q12,0.2),-MROUND(ABS(Q12),0.2))</f>
        <v>-0.4</v>
      </c>
      <c r="U12" s="5">
        <f t="shared" si="20"/>
        <v>-0.2</v>
      </c>
      <c r="V12" s="5">
        <f t="shared" si="20"/>
        <v>0.4</v>
      </c>
      <c r="W12" s="2">
        <f t="shared" ref="W12:Y12" si="21">Q12^2</f>
        <v>0.11742789182119637</v>
      </c>
      <c r="X12" s="2">
        <f t="shared" si="21"/>
        <v>1.8065829301687986E-2</v>
      </c>
      <c r="Y12" s="2">
        <f t="shared" si="21"/>
        <v>0.13549372086228931</v>
      </c>
    </row>
    <row r="13" spans="1:25" x14ac:dyDescent="0.7">
      <c r="A13" t="s">
        <v>56</v>
      </c>
      <c r="B13" s="3">
        <v>0.63976851851851857</v>
      </c>
      <c r="C13" t="s">
        <v>57</v>
      </c>
      <c r="D13" s="2">
        <v>37.632948333333339</v>
      </c>
      <c r="E13" t="s">
        <v>58</v>
      </c>
      <c r="F13" s="2">
        <v>141.01271666666668</v>
      </c>
      <c r="G13" t="s">
        <v>59</v>
      </c>
      <c r="H13" s="4">
        <v>0</v>
      </c>
      <c r="I13" s="5">
        <v>93.2</v>
      </c>
      <c r="J13">
        <v>170220</v>
      </c>
      <c r="M13" t="s">
        <v>57</v>
      </c>
      <c r="N13" t="s">
        <v>88</v>
      </c>
      <c r="O13" s="2">
        <v>-3.0952380853932482E-6</v>
      </c>
      <c r="P13" s="2">
        <v>3.1746031936563668E-7</v>
      </c>
      <c r="Q13" s="2">
        <v>-0.34267753328923733</v>
      </c>
      <c r="R13" s="2">
        <v>9.5041647553443909E-2</v>
      </c>
      <c r="S13" s="2">
        <v>0.34267753328923733</v>
      </c>
      <c r="T13" s="5">
        <f t="shared" ref="T13:V13" si="22">IFERROR(MROUND(Q13,0.2),-MROUND(ABS(Q13),0.2))</f>
        <v>-0.4</v>
      </c>
      <c r="U13" s="5">
        <f t="shared" si="22"/>
        <v>0</v>
      </c>
      <c r="V13" s="5">
        <f t="shared" si="22"/>
        <v>0.4</v>
      </c>
      <c r="W13" s="2">
        <f t="shared" ref="W13:Y13" si="23">Q13^2</f>
        <v>0.11742789182119637</v>
      </c>
      <c r="X13" s="2">
        <f t="shared" si="23"/>
        <v>9.0329147696730505E-3</v>
      </c>
      <c r="Y13" s="2">
        <f t="shared" si="23"/>
        <v>0.11742789182119637</v>
      </c>
    </row>
    <row r="14" spans="1:25" x14ac:dyDescent="0.7">
      <c r="A14" t="s">
        <v>56</v>
      </c>
      <c r="B14" s="3">
        <v>0.63978009259259261</v>
      </c>
      <c r="C14" t="s">
        <v>57</v>
      </c>
      <c r="D14" s="2">
        <v>37.632948333333339</v>
      </c>
      <c r="E14" t="s">
        <v>58</v>
      </c>
      <c r="F14" s="2">
        <v>141.01271666666668</v>
      </c>
      <c r="G14" t="s">
        <v>59</v>
      </c>
      <c r="H14" s="4">
        <v>0</v>
      </c>
      <c r="I14" s="5">
        <v>93.2</v>
      </c>
      <c r="J14">
        <v>170220</v>
      </c>
      <c r="M14" t="s">
        <v>57</v>
      </c>
      <c r="N14" t="s">
        <v>63</v>
      </c>
      <c r="O14" s="2">
        <v>-3.0952380853932482E-6</v>
      </c>
      <c r="P14" s="2">
        <v>3.1746031936563668E-7</v>
      </c>
      <c r="Q14" s="2">
        <v>-0.34267753328923733</v>
      </c>
      <c r="R14" s="2">
        <v>9.5041647553443909E-2</v>
      </c>
      <c r="S14" s="2">
        <v>0.34267753328923733</v>
      </c>
      <c r="T14" s="5">
        <f t="shared" ref="T14:V14" si="24">IFERROR(MROUND(Q14,0.2),-MROUND(ABS(Q14),0.2))</f>
        <v>-0.4</v>
      </c>
      <c r="U14" s="5">
        <f t="shared" si="24"/>
        <v>0</v>
      </c>
      <c r="V14" s="5">
        <f t="shared" si="24"/>
        <v>0.4</v>
      </c>
      <c r="W14" s="2">
        <f t="shared" ref="W14:Y14" si="25">Q14^2</f>
        <v>0.11742789182119637</v>
      </c>
      <c r="X14" s="2">
        <f t="shared" si="25"/>
        <v>9.0329147696730505E-3</v>
      </c>
      <c r="Y14" s="2">
        <f t="shared" si="25"/>
        <v>0.11742789182119637</v>
      </c>
    </row>
    <row r="15" spans="1:25" x14ac:dyDescent="0.7">
      <c r="A15" t="s">
        <v>56</v>
      </c>
      <c r="B15" s="3">
        <v>0.63979166666666665</v>
      </c>
      <c r="C15" t="s">
        <v>57</v>
      </c>
      <c r="D15" s="2">
        <v>37.632946666666662</v>
      </c>
      <c r="E15" t="s">
        <v>58</v>
      </c>
      <c r="F15" s="2">
        <v>141.01271499999999</v>
      </c>
      <c r="G15" t="s">
        <v>59</v>
      </c>
      <c r="H15" s="4">
        <v>0</v>
      </c>
      <c r="I15" s="5">
        <v>93.2</v>
      </c>
      <c r="J15">
        <v>170220</v>
      </c>
      <c r="M15" t="s">
        <v>57</v>
      </c>
      <c r="N15" t="s">
        <v>67</v>
      </c>
      <c r="O15" s="2">
        <v>-4.7619047620628407E-6</v>
      </c>
      <c r="P15" s="2">
        <v>-1.3492063715148106E-6</v>
      </c>
      <c r="Q15" s="2">
        <v>-0.5376367471375807</v>
      </c>
      <c r="R15" s="2">
        <v>-0.13440918607627972</v>
      </c>
      <c r="S15" s="2">
        <v>0.54597269785428026</v>
      </c>
      <c r="T15" s="5">
        <f t="shared" ref="T15:V15" si="26">IFERROR(MROUND(Q15,0.2),-MROUND(ABS(Q15),0.2))</f>
        <v>-0.60000000000000009</v>
      </c>
      <c r="U15" s="5">
        <f t="shared" si="26"/>
        <v>-0.2</v>
      </c>
      <c r="V15" s="5">
        <f t="shared" si="26"/>
        <v>0.60000000000000009</v>
      </c>
      <c r="W15" s="2">
        <f t="shared" ref="W15:Y15" si="27">Q15^2</f>
        <v>0.28905327187267887</v>
      </c>
      <c r="X15" s="2">
        <f t="shared" si="27"/>
        <v>1.8065829301687986E-2</v>
      </c>
      <c r="Y15" s="2">
        <f t="shared" si="27"/>
        <v>0.29808618680228122</v>
      </c>
    </row>
    <row r="16" spans="1:25" x14ac:dyDescent="0.7">
      <c r="A16" t="s">
        <v>56</v>
      </c>
      <c r="B16" s="3">
        <v>0.63980324074074069</v>
      </c>
      <c r="C16" t="s">
        <v>57</v>
      </c>
      <c r="D16" s="2">
        <v>37.632944999999999</v>
      </c>
      <c r="E16" t="s">
        <v>58</v>
      </c>
      <c r="F16" s="2">
        <v>141.01271499999999</v>
      </c>
      <c r="G16" t="s">
        <v>59</v>
      </c>
      <c r="H16" s="4">
        <v>0</v>
      </c>
      <c r="I16" s="5">
        <v>93.2</v>
      </c>
      <c r="J16">
        <v>170220</v>
      </c>
      <c r="M16" t="s">
        <v>57</v>
      </c>
      <c r="N16" t="s">
        <v>90</v>
      </c>
      <c r="O16" s="2">
        <v>-6.4285714245215786E-6</v>
      </c>
      <c r="P16" s="2">
        <v>-1.3492063715148106E-6</v>
      </c>
      <c r="Q16" s="2">
        <v>-0.7238156225017216</v>
      </c>
      <c r="R16" s="2">
        <v>-0.13440918607627972</v>
      </c>
      <c r="S16" s="2">
        <v>0.73002874646870386</v>
      </c>
      <c r="T16" s="5">
        <f t="shared" ref="T16:V16" si="28">IFERROR(MROUND(Q16,0.2),-MROUND(ABS(Q16),0.2))</f>
        <v>-0.8</v>
      </c>
      <c r="U16" s="5">
        <f t="shared" si="28"/>
        <v>-0.2</v>
      </c>
      <c r="V16" s="5">
        <f t="shared" si="28"/>
        <v>0.8</v>
      </c>
      <c r="W16" s="2">
        <f t="shared" ref="W16:Y16" si="29">Q16^2</f>
        <v>0.52390905537755472</v>
      </c>
      <c r="X16" s="2">
        <f t="shared" si="29"/>
        <v>1.8065829301687986E-2</v>
      </c>
      <c r="Y16" s="2">
        <f t="shared" si="29"/>
        <v>0.53294197067066706</v>
      </c>
    </row>
    <row r="17" spans="1:25" x14ac:dyDescent="0.7">
      <c r="A17" t="s">
        <v>56</v>
      </c>
      <c r="B17" s="3">
        <v>0.63982638888888888</v>
      </c>
      <c r="C17" t="s">
        <v>57</v>
      </c>
      <c r="D17" s="2">
        <v>37.632946666666662</v>
      </c>
      <c r="E17" t="s">
        <v>58</v>
      </c>
      <c r="F17" s="2">
        <v>141.01271499999999</v>
      </c>
      <c r="G17" t="s">
        <v>59</v>
      </c>
      <c r="H17" s="4">
        <v>0</v>
      </c>
      <c r="I17" s="5">
        <v>93.2</v>
      </c>
      <c r="J17">
        <v>170220</v>
      </c>
      <c r="M17" t="s">
        <v>57</v>
      </c>
      <c r="N17" t="s">
        <v>62</v>
      </c>
      <c r="O17" s="2">
        <v>-4.7619047620628407E-6</v>
      </c>
      <c r="P17" s="2">
        <v>-1.3492063715148106E-6</v>
      </c>
      <c r="Q17" s="2">
        <v>-0.5376367471375807</v>
      </c>
      <c r="R17" s="2">
        <v>-0.13440918607627972</v>
      </c>
      <c r="S17" s="2">
        <v>0.54597269785428026</v>
      </c>
      <c r="T17" s="5">
        <f t="shared" ref="T17:V17" si="30">IFERROR(MROUND(Q17,0.2),-MROUND(ABS(Q17),0.2))</f>
        <v>-0.60000000000000009</v>
      </c>
      <c r="U17" s="5">
        <f t="shared" si="30"/>
        <v>-0.2</v>
      </c>
      <c r="V17" s="5">
        <f t="shared" si="30"/>
        <v>0.60000000000000009</v>
      </c>
      <c r="W17" s="2">
        <f t="shared" ref="W17:Y17" si="31">Q17^2</f>
        <v>0.28905327187267887</v>
      </c>
      <c r="X17" s="2">
        <f t="shared" si="31"/>
        <v>1.8065829301687986E-2</v>
      </c>
      <c r="Y17" s="2">
        <f t="shared" si="31"/>
        <v>0.29808618680228122</v>
      </c>
    </row>
    <row r="18" spans="1:25" x14ac:dyDescent="0.7">
      <c r="A18" t="s">
        <v>56</v>
      </c>
      <c r="B18" s="3">
        <v>0.63983796296296302</v>
      </c>
      <c r="C18" t="s">
        <v>57</v>
      </c>
      <c r="D18" s="2">
        <v>37.632948333333339</v>
      </c>
      <c r="E18" t="s">
        <v>58</v>
      </c>
      <c r="F18" s="2">
        <v>141.01271333333335</v>
      </c>
      <c r="G18" t="s">
        <v>59</v>
      </c>
      <c r="H18" s="4">
        <v>0</v>
      </c>
      <c r="I18" s="5">
        <v>93.2</v>
      </c>
      <c r="J18">
        <v>170220</v>
      </c>
      <c r="M18" t="s">
        <v>57</v>
      </c>
      <c r="N18" t="s">
        <v>87</v>
      </c>
      <c r="O18" s="2">
        <v>-3.0952380853932482E-6</v>
      </c>
      <c r="P18" s="2">
        <v>-3.015873005551839E-6</v>
      </c>
      <c r="Q18" s="2">
        <v>-0.34267753328923733</v>
      </c>
      <c r="R18" s="2">
        <v>-0.26881837356879035</v>
      </c>
      <c r="S18" s="2">
        <v>0.4355355439701365</v>
      </c>
      <c r="T18" s="5">
        <f t="shared" ref="T18:V18" si="32">IFERROR(MROUND(Q18,0.2),-MROUND(ABS(Q18),0.2))</f>
        <v>-0.4</v>
      </c>
      <c r="U18" s="5">
        <f t="shared" si="32"/>
        <v>-0.2</v>
      </c>
      <c r="V18" s="5">
        <f t="shared" si="32"/>
        <v>0.4</v>
      </c>
      <c r="W18" s="2">
        <f t="shared" ref="W18:Y18" si="33">Q18^2</f>
        <v>0.11742789182119637</v>
      </c>
      <c r="X18" s="2">
        <f t="shared" si="33"/>
        <v>7.2263317968169719E-2</v>
      </c>
      <c r="Y18" s="2">
        <f t="shared" si="33"/>
        <v>0.18969121006136269</v>
      </c>
    </row>
    <row r="19" spans="1:25" x14ac:dyDescent="0.7">
      <c r="A19" t="s">
        <v>56</v>
      </c>
      <c r="B19" s="3">
        <v>0.63984953703703706</v>
      </c>
      <c r="C19" t="s">
        <v>57</v>
      </c>
      <c r="D19" s="2">
        <v>37.632948333333339</v>
      </c>
      <c r="E19" t="s">
        <v>58</v>
      </c>
      <c r="F19" s="2">
        <v>141.01271166666666</v>
      </c>
      <c r="G19" t="s">
        <v>59</v>
      </c>
      <c r="H19" s="4">
        <v>0</v>
      </c>
      <c r="I19" s="5">
        <v>93.2</v>
      </c>
      <c r="J19">
        <v>170220</v>
      </c>
      <c r="M19" t="s">
        <v>57</v>
      </c>
      <c r="N19" t="s">
        <v>88</v>
      </c>
      <c r="O19" s="2">
        <v>-3.0952380853932482E-6</v>
      </c>
      <c r="P19" s="2">
        <v>-4.6825396964322863E-6</v>
      </c>
      <c r="Q19" s="2">
        <v>-0.34267753328923733</v>
      </c>
      <c r="R19" s="2">
        <v>-0.42503916840551237</v>
      </c>
      <c r="S19" s="2">
        <v>0.5376367471375807</v>
      </c>
      <c r="T19" s="5">
        <f t="shared" ref="T19:V19" si="34">IFERROR(MROUND(Q19,0.2),-MROUND(ABS(Q19),0.2))</f>
        <v>-0.4</v>
      </c>
      <c r="U19" s="5">
        <f t="shared" si="34"/>
        <v>-0.4</v>
      </c>
      <c r="V19" s="5">
        <f t="shared" si="34"/>
        <v>0.60000000000000009</v>
      </c>
      <c r="W19" s="2">
        <f t="shared" ref="W19:Y19" si="35">Q19^2</f>
        <v>0.11742789182119637</v>
      </c>
      <c r="X19" s="2">
        <f t="shared" si="35"/>
        <v>0.1806582946788495</v>
      </c>
      <c r="Y19" s="2">
        <f t="shared" si="35"/>
        <v>0.28905327187267887</v>
      </c>
    </row>
    <row r="20" spans="1:25" x14ac:dyDescent="0.7">
      <c r="A20" t="s">
        <v>56</v>
      </c>
      <c r="B20" s="3">
        <v>0.63987268518518514</v>
      </c>
      <c r="C20" t="s">
        <v>57</v>
      </c>
      <c r="D20" s="2">
        <v>37.632948333333339</v>
      </c>
      <c r="E20" t="s">
        <v>58</v>
      </c>
      <c r="F20" s="2">
        <v>141.01271166666666</v>
      </c>
      <c r="G20" t="s">
        <v>59</v>
      </c>
      <c r="H20" s="4">
        <v>0</v>
      </c>
      <c r="I20" s="5">
        <v>93.2</v>
      </c>
      <c r="J20">
        <v>170220</v>
      </c>
      <c r="M20" t="s">
        <v>57</v>
      </c>
      <c r="N20" t="s">
        <v>68</v>
      </c>
      <c r="O20" s="2">
        <v>-3.0952380853932482E-6</v>
      </c>
      <c r="P20" s="2">
        <v>-4.6825396964322863E-6</v>
      </c>
      <c r="Q20" s="2">
        <v>-0.34267753328923733</v>
      </c>
      <c r="R20" s="2">
        <v>-0.42503916840551237</v>
      </c>
      <c r="S20" s="2">
        <v>0.5376367471375807</v>
      </c>
      <c r="T20" s="5">
        <f t="shared" ref="T20:V20" si="36">IFERROR(MROUND(Q20,0.2),-MROUND(ABS(Q20),0.2))</f>
        <v>-0.4</v>
      </c>
      <c r="U20" s="5">
        <f t="shared" si="36"/>
        <v>-0.4</v>
      </c>
      <c r="V20" s="5">
        <f t="shared" si="36"/>
        <v>0.60000000000000009</v>
      </c>
      <c r="W20" s="2">
        <f t="shared" ref="W20:Y20" si="37">Q20^2</f>
        <v>0.11742789182119637</v>
      </c>
      <c r="X20" s="2">
        <f t="shared" si="37"/>
        <v>0.1806582946788495</v>
      </c>
      <c r="Y20" s="2">
        <f t="shared" si="37"/>
        <v>0.28905327187267887</v>
      </c>
    </row>
    <row r="21" spans="1:25" x14ac:dyDescent="0.7">
      <c r="A21" t="s">
        <v>56</v>
      </c>
      <c r="B21" s="3">
        <v>0.63988425925925929</v>
      </c>
      <c r="C21" t="s">
        <v>57</v>
      </c>
      <c r="D21" s="2">
        <v>37.632948333333339</v>
      </c>
      <c r="E21" t="s">
        <v>58</v>
      </c>
      <c r="F21" s="2">
        <v>141.01271166666666</v>
      </c>
      <c r="G21" t="s">
        <v>59</v>
      </c>
      <c r="H21" s="4">
        <v>0</v>
      </c>
      <c r="I21" s="5">
        <v>93.2</v>
      </c>
      <c r="J21">
        <v>170220</v>
      </c>
      <c r="M21" t="s">
        <v>57</v>
      </c>
      <c r="N21" t="s">
        <v>65</v>
      </c>
      <c r="O21" s="2">
        <v>-3.0952380853932482E-6</v>
      </c>
      <c r="P21" s="2">
        <v>-4.6825396964322863E-6</v>
      </c>
      <c r="Q21" s="2">
        <v>-0.34267753328923733</v>
      </c>
      <c r="R21" s="2">
        <v>-0.42503916840551237</v>
      </c>
      <c r="S21" s="2">
        <v>0.5376367471375807</v>
      </c>
      <c r="T21" s="5">
        <f t="shared" ref="T21:V21" si="38">IFERROR(MROUND(Q21,0.2),-MROUND(ABS(Q21),0.2))</f>
        <v>-0.4</v>
      </c>
      <c r="U21" s="5">
        <f t="shared" si="38"/>
        <v>-0.4</v>
      </c>
      <c r="V21" s="5">
        <f t="shared" si="38"/>
        <v>0.60000000000000009</v>
      </c>
      <c r="W21" s="2">
        <f t="shared" ref="W21:Y21" si="39">Q21^2</f>
        <v>0.11742789182119637</v>
      </c>
      <c r="X21" s="2">
        <f t="shared" si="39"/>
        <v>0.1806582946788495</v>
      </c>
      <c r="Y21" s="2">
        <f t="shared" si="39"/>
        <v>0.28905327187267887</v>
      </c>
    </row>
    <row r="22" spans="1:25" x14ac:dyDescent="0.7">
      <c r="A22" t="s">
        <v>56</v>
      </c>
      <c r="B22" s="3">
        <v>0.63989583333333333</v>
      </c>
      <c r="C22" t="s">
        <v>57</v>
      </c>
      <c r="D22" s="2">
        <v>37.632946666666662</v>
      </c>
      <c r="E22" t="s">
        <v>58</v>
      </c>
      <c r="F22" s="2">
        <v>141.01271166666666</v>
      </c>
      <c r="G22" t="s">
        <v>59</v>
      </c>
      <c r="H22" s="4">
        <v>0</v>
      </c>
      <c r="I22" s="5">
        <v>93.2</v>
      </c>
      <c r="J22">
        <v>170220</v>
      </c>
      <c r="M22" t="s">
        <v>57</v>
      </c>
      <c r="N22" t="s">
        <v>65</v>
      </c>
      <c r="O22" s="2">
        <v>-4.7619047620628407E-6</v>
      </c>
      <c r="P22" s="2">
        <v>-4.6825396964322863E-6</v>
      </c>
      <c r="Q22" s="2">
        <v>-0.5376367471375807</v>
      </c>
      <c r="R22" s="2">
        <v>-0.42503916840551237</v>
      </c>
      <c r="S22" s="2">
        <v>0.67873312348330228</v>
      </c>
      <c r="T22" s="5">
        <f t="shared" ref="T22:V22" si="40">IFERROR(MROUND(Q22,0.2),-MROUND(ABS(Q22),0.2))</f>
        <v>-0.60000000000000009</v>
      </c>
      <c r="U22" s="5">
        <f t="shared" si="40"/>
        <v>-0.4</v>
      </c>
      <c r="V22" s="5">
        <f t="shared" si="40"/>
        <v>0.60000000000000009</v>
      </c>
      <c r="W22" s="2">
        <f t="shared" ref="W22:Y22" si="41">Q22^2</f>
        <v>0.28905327187267887</v>
      </c>
      <c r="X22" s="2">
        <f t="shared" si="41"/>
        <v>0.1806582946788495</v>
      </c>
      <c r="Y22" s="2">
        <f t="shared" si="41"/>
        <v>0.46067865291339966</v>
      </c>
    </row>
    <row r="23" spans="1:25" x14ac:dyDescent="0.7">
      <c r="A23" t="s">
        <v>56</v>
      </c>
      <c r="B23" s="3">
        <v>0.64085648148148155</v>
      </c>
      <c r="C23" t="s">
        <v>57</v>
      </c>
      <c r="D23" s="2">
        <v>37.632950000000001</v>
      </c>
      <c r="E23" t="s">
        <v>58</v>
      </c>
      <c r="F23" s="2">
        <v>141.01276833333336</v>
      </c>
      <c r="G23" t="s">
        <v>59</v>
      </c>
      <c r="H23" s="4">
        <v>0</v>
      </c>
      <c r="I23" s="5">
        <v>93.8</v>
      </c>
      <c r="J23">
        <v>170220</v>
      </c>
      <c r="M23" t="s">
        <v>57</v>
      </c>
      <c r="N23" t="s">
        <v>67</v>
      </c>
      <c r="O23" s="2">
        <v>-2.7777777944493209E-6</v>
      </c>
      <c r="P23" s="2">
        <v>6.2500004105459084E-7</v>
      </c>
      <c r="Q23" s="2">
        <v>-0.31521748439906938</v>
      </c>
      <c r="R23" s="2">
        <v>9.5041647553443909E-2</v>
      </c>
      <c r="S23" s="2">
        <v>0.31521748439906938</v>
      </c>
      <c r="T23" s="5">
        <f t="shared" ref="T23:V23" si="42">IFERROR(MROUND(Q23,0.2),-MROUND(ABS(Q23),0.2))</f>
        <v>-0.4</v>
      </c>
      <c r="U23" s="5">
        <f t="shared" si="42"/>
        <v>0</v>
      </c>
      <c r="V23" s="5">
        <f t="shared" si="42"/>
        <v>0.4</v>
      </c>
      <c r="W23" s="2">
        <f t="shared" ref="W23:Y23" si="43">Q23^2</f>
        <v>9.9362062470877546E-2</v>
      </c>
      <c r="X23" s="2">
        <f t="shared" si="43"/>
        <v>9.0329147696730505E-3</v>
      </c>
      <c r="Y23" s="2">
        <f t="shared" si="43"/>
        <v>9.9362062470877546E-2</v>
      </c>
    </row>
    <row r="24" spans="1:25" x14ac:dyDescent="0.7">
      <c r="A24" t="s">
        <v>56</v>
      </c>
      <c r="B24" s="3">
        <v>0.64086805555555559</v>
      </c>
      <c r="C24" t="s">
        <v>57</v>
      </c>
      <c r="D24" s="2">
        <v>37.632950000000001</v>
      </c>
      <c r="E24" t="s">
        <v>58</v>
      </c>
      <c r="F24" s="2">
        <v>141.01276833333336</v>
      </c>
      <c r="G24" t="s">
        <v>59</v>
      </c>
      <c r="H24" s="4">
        <v>0</v>
      </c>
      <c r="I24" s="5">
        <v>93.8</v>
      </c>
      <c r="J24">
        <v>170220</v>
      </c>
      <c r="M24" t="s">
        <v>57</v>
      </c>
      <c r="N24" t="s">
        <v>68</v>
      </c>
      <c r="O24" s="2">
        <v>-2.7777777944493209E-6</v>
      </c>
      <c r="P24" s="2">
        <v>6.2500004105459084E-7</v>
      </c>
      <c r="Q24" s="2">
        <v>-0.31521748439906938</v>
      </c>
      <c r="R24" s="2">
        <v>9.5041647553443909E-2</v>
      </c>
      <c r="S24" s="2">
        <v>0.31521748439906938</v>
      </c>
      <c r="T24" s="5">
        <f t="shared" ref="T24:V24" si="44">IFERROR(MROUND(Q24,0.2),-MROUND(ABS(Q24),0.2))</f>
        <v>-0.4</v>
      </c>
      <c r="U24" s="5">
        <f t="shared" si="44"/>
        <v>0</v>
      </c>
      <c r="V24" s="5">
        <f t="shared" si="44"/>
        <v>0.4</v>
      </c>
      <c r="W24" s="2">
        <f t="shared" ref="W24:Y24" si="45">Q24^2</f>
        <v>9.9362062470877546E-2</v>
      </c>
      <c r="X24" s="2">
        <f t="shared" si="45"/>
        <v>9.0329147696730505E-3</v>
      </c>
      <c r="Y24" s="2">
        <f t="shared" si="45"/>
        <v>9.9362062470877546E-2</v>
      </c>
    </row>
    <row r="25" spans="1:25" x14ac:dyDescent="0.7">
      <c r="A25" t="s">
        <v>56</v>
      </c>
      <c r="B25" s="3">
        <v>0.64087962962962963</v>
      </c>
      <c r="C25" t="s">
        <v>57</v>
      </c>
      <c r="D25" s="2">
        <v>37.632950000000001</v>
      </c>
      <c r="E25" t="s">
        <v>58</v>
      </c>
      <c r="F25" s="2">
        <v>141.01276666666666</v>
      </c>
      <c r="G25" t="s">
        <v>59</v>
      </c>
      <c r="H25" s="4">
        <v>0</v>
      </c>
      <c r="I25" s="5">
        <v>93.8</v>
      </c>
      <c r="J25">
        <v>170220</v>
      </c>
      <c r="M25" t="s">
        <v>57</v>
      </c>
      <c r="N25" t="s">
        <v>89</v>
      </c>
      <c r="O25" s="2">
        <v>-2.7777777944493209E-6</v>
      </c>
      <c r="P25" s="2">
        <v>-1.0416666498258564E-6</v>
      </c>
      <c r="Q25" s="2">
        <v>-0.31521748439906938</v>
      </c>
      <c r="R25" s="2">
        <v>-9.5041647553443909E-2</v>
      </c>
      <c r="S25" s="2">
        <v>0.31521748439906938</v>
      </c>
      <c r="T25" s="5">
        <f t="shared" ref="T25:V25" si="46">IFERROR(MROUND(Q25,0.2),-MROUND(ABS(Q25),0.2))</f>
        <v>-0.4</v>
      </c>
      <c r="U25" s="5">
        <f t="shared" si="46"/>
        <v>0</v>
      </c>
      <c r="V25" s="5">
        <f t="shared" si="46"/>
        <v>0.4</v>
      </c>
      <c r="W25" s="2">
        <f t="shared" ref="W25:Y25" si="47">Q25^2</f>
        <v>9.9362062470877546E-2</v>
      </c>
      <c r="X25" s="2">
        <f t="shared" si="47"/>
        <v>9.0329147696730505E-3</v>
      </c>
      <c r="Y25" s="2">
        <f t="shared" si="47"/>
        <v>9.9362062470877546E-2</v>
      </c>
    </row>
    <row r="26" spans="1:25" x14ac:dyDescent="0.7">
      <c r="A26" t="s">
        <v>56</v>
      </c>
      <c r="B26" s="3">
        <v>0.64093750000000005</v>
      </c>
      <c r="C26" t="s">
        <v>57</v>
      </c>
      <c r="D26" s="2">
        <v>37.632953333333333</v>
      </c>
      <c r="E26" t="s">
        <v>58</v>
      </c>
      <c r="F26" s="2">
        <v>141.01276666666666</v>
      </c>
      <c r="G26" t="s">
        <v>59</v>
      </c>
      <c r="H26" s="4">
        <v>0</v>
      </c>
      <c r="I26" s="5">
        <v>93.8</v>
      </c>
      <c r="J26">
        <v>170220</v>
      </c>
      <c r="M26" t="s">
        <v>57</v>
      </c>
      <c r="N26" t="s">
        <v>61</v>
      </c>
      <c r="O26" s="2">
        <v>5.5555553757358211E-7</v>
      </c>
      <c r="P26" s="2">
        <v>-1.0416666498258564E-6</v>
      </c>
      <c r="Q26" s="2">
        <v>9.5041647553443909E-2</v>
      </c>
      <c r="R26" s="2">
        <v>-9.5041647553443909E-2</v>
      </c>
      <c r="S26" s="2">
        <v>9.5041647553443909E-2</v>
      </c>
      <c r="T26" s="5">
        <f t="shared" ref="T26:V26" si="48">IFERROR(MROUND(Q26,0.2),-MROUND(ABS(Q26),0.2))</f>
        <v>0</v>
      </c>
      <c r="U26" s="5">
        <f t="shared" si="48"/>
        <v>0</v>
      </c>
      <c r="V26" s="5">
        <f t="shared" si="48"/>
        <v>0</v>
      </c>
      <c r="W26" s="2">
        <f t="shared" ref="W26:Y26" si="49">Q26^2</f>
        <v>9.0329147696730505E-3</v>
      </c>
      <c r="X26" s="2">
        <f t="shared" si="49"/>
        <v>9.0329147696730505E-3</v>
      </c>
      <c r="Y26" s="2">
        <f t="shared" si="49"/>
        <v>9.0329147696730505E-3</v>
      </c>
    </row>
    <row r="27" spans="1:25" x14ac:dyDescent="0.7">
      <c r="A27" t="s">
        <v>56</v>
      </c>
      <c r="B27" s="3">
        <v>0.64094907407407409</v>
      </c>
      <c r="C27" t="s">
        <v>57</v>
      </c>
      <c r="D27" s="2">
        <v>37.632953333333333</v>
      </c>
      <c r="E27" t="s">
        <v>58</v>
      </c>
      <c r="F27" s="2">
        <v>141.01276666666666</v>
      </c>
      <c r="G27" t="s">
        <v>59</v>
      </c>
      <c r="H27" s="4">
        <v>0</v>
      </c>
      <c r="I27" s="5">
        <v>93.8</v>
      </c>
      <c r="J27">
        <v>170220</v>
      </c>
      <c r="M27" t="s">
        <v>57</v>
      </c>
      <c r="N27" t="s">
        <v>60</v>
      </c>
      <c r="O27" s="2">
        <v>5.5555553757358211E-7</v>
      </c>
      <c r="P27" s="2">
        <v>-1.0416666498258564E-6</v>
      </c>
      <c r="Q27" s="2">
        <v>9.5041647553443909E-2</v>
      </c>
      <c r="R27" s="2">
        <v>-9.5041647553443909E-2</v>
      </c>
      <c r="S27" s="2">
        <v>9.5041647553443909E-2</v>
      </c>
      <c r="T27" s="5">
        <f t="shared" ref="T27:V27" si="50">IFERROR(MROUND(Q27,0.2),-MROUND(ABS(Q27),0.2))</f>
        <v>0</v>
      </c>
      <c r="U27" s="5">
        <f t="shared" si="50"/>
        <v>0</v>
      </c>
      <c r="V27" s="5">
        <f t="shared" si="50"/>
        <v>0</v>
      </c>
      <c r="W27" s="2">
        <f t="shared" ref="W27:Y27" si="51">Q27^2</f>
        <v>9.0329147696730505E-3</v>
      </c>
      <c r="X27" s="2">
        <f t="shared" si="51"/>
        <v>9.0329147696730505E-3</v>
      </c>
      <c r="Y27" s="2">
        <f t="shared" si="51"/>
        <v>9.0329147696730505E-3</v>
      </c>
    </row>
    <row r="28" spans="1:25" x14ac:dyDescent="0.7">
      <c r="A28" t="s">
        <v>56</v>
      </c>
      <c r="B28" s="3">
        <v>0.64096064814814813</v>
      </c>
      <c r="C28" t="s">
        <v>57</v>
      </c>
      <c r="D28" s="2">
        <v>37.632953333333333</v>
      </c>
      <c r="E28" t="s">
        <v>58</v>
      </c>
      <c r="F28" s="2">
        <v>141.01276666666666</v>
      </c>
      <c r="G28" t="s">
        <v>59</v>
      </c>
      <c r="H28" s="4">
        <v>0</v>
      </c>
      <c r="I28" s="5">
        <v>93.8</v>
      </c>
      <c r="J28">
        <v>170220</v>
      </c>
      <c r="M28" t="s">
        <v>57</v>
      </c>
      <c r="N28" t="s">
        <v>62</v>
      </c>
      <c r="O28" s="2">
        <v>5.5555553757358211E-7</v>
      </c>
      <c r="P28" s="2">
        <v>-1.0416666498258564E-6</v>
      </c>
      <c r="Q28" s="2">
        <v>9.5041647553443909E-2</v>
      </c>
      <c r="R28" s="2">
        <v>-9.5041647553443909E-2</v>
      </c>
      <c r="S28" s="2">
        <v>9.5041647553443909E-2</v>
      </c>
      <c r="T28" s="5">
        <f t="shared" ref="T28:V28" si="52">IFERROR(MROUND(Q28,0.2),-MROUND(ABS(Q28),0.2))</f>
        <v>0</v>
      </c>
      <c r="U28" s="5">
        <f t="shared" si="52"/>
        <v>0</v>
      </c>
      <c r="V28" s="5">
        <f t="shared" si="52"/>
        <v>0</v>
      </c>
      <c r="W28" s="2">
        <f t="shared" ref="W28:Y28" si="53">Q28^2</f>
        <v>9.0329147696730505E-3</v>
      </c>
      <c r="X28" s="2">
        <f t="shared" si="53"/>
        <v>9.0329147696730505E-3</v>
      </c>
      <c r="Y28" s="2">
        <f t="shared" si="53"/>
        <v>9.0329147696730505E-3</v>
      </c>
    </row>
    <row r="29" spans="1:25" x14ac:dyDescent="0.7">
      <c r="A29" t="s">
        <v>56</v>
      </c>
      <c r="B29" s="3">
        <v>0.64097222222222217</v>
      </c>
      <c r="C29" t="s">
        <v>57</v>
      </c>
      <c r="D29" s="2">
        <v>37.632953333333333</v>
      </c>
      <c r="E29" t="s">
        <v>58</v>
      </c>
      <c r="F29" s="2">
        <v>141.01276666666666</v>
      </c>
      <c r="G29" t="s">
        <v>59</v>
      </c>
      <c r="H29" s="4">
        <v>0</v>
      </c>
      <c r="I29" s="5">
        <v>93.8</v>
      </c>
      <c r="J29">
        <v>170220</v>
      </c>
      <c r="M29" t="s">
        <v>57</v>
      </c>
      <c r="N29" t="s">
        <v>88</v>
      </c>
      <c r="O29" s="2">
        <v>5.5555553757358211E-7</v>
      </c>
      <c r="P29" s="2">
        <v>-1.0416666498258564E-6</v>
      </c>
      <c r="Q29" s="2">
        <v>9.5041647553443909E-2</v>
      </c>
      <c r="R29" s="2">
        <v>-9.5041647553443909E-2</v>
      </c>
      <c r="S29" s="2">
        <v>9.5041647553443909E-2</v>
      </c>
      <c r="T29" s="5">
        <f t="shared" ref="T29:V29" si="54">IFERROR(MROUND(Q29,0.2),-MROUND(ABS(Q29),0.2))</f>
        <v>0</v>
      </c>
      <c r="U29" s="5">
        <f t="shared" si="54"/>
        <v>0</v>
      </c>
      <c r="V29" s="5">
        <f t="shared" si="54"/>
        <v>0</v>
      </c>
      <c r="W29" s="2">
        <f t="shared" ref="W29:Y29" si="55">Q29^2</f>
        <v>9.0329147696730505E-3</v>
      </c>
      <c r="X29" s="2">
        <f t="shared" si="55"/>
        <v>9.0329147696730505E-3</v>
      </c>
      <c r="Y29" s="2">
        <f t="shared" si="55"/>
        <v>9.0329147696730505E-3</v>
      </c>
    </row>
    <row r="30" spans="1:25" x14ac:dyDescent="0.7">
      <c r="A30" t="s">
        <v>56</v>
      </c>
      <c r="B30" s="3">
        <v>0.64098379629629632</v>
      </c>
      <c r="C30" t="s">
        <v>57</v>
      </c>
      <c r="D30" s="2">
        <v>37.632951666666671</v>
      </c>
      <c r="E30" t="s">
        <v>58</v>
      </c>
      <c r="F30" s="2">
        <v>141.012765</v>
      </c>
      <c r="G30" t="s">
        <v>59</v>
      </c>
      <c r="H30" s="4">
        <v>0</v>
      </c>
      <c r="I30" s="5">
        <v>93.8</v>
      </c>
      <c r="J30">
        <v>170220</v>
      </c>
      <c r="M30" t="s">
        <v>57</v>
      </c>
      <c r="N30" t="s">
        <v>91</v>
      </c>
      <c r="O30" s="2">
        <v>-1.1111111248851557E-6</v>
      </c>
      <c r="P30" s="2">
        <v>-2.7083333122845943E-6</v>
      </c>
      <c r="Q30" s="2">
        <v>-0.13440918607627972</v>
      </c>
      <c r="R30" s="2">
        <v>-0.23280354079412158</v>
      </c>
      <c r="S30" s="2">
        <v>0.26881837356879035</v>
      </c>
      <c r="T30" s="5">
        <f t="shared" ref="T30:V30" si="56">IFERROR(MROUND(Q30,0.2),-MROUND(ABS(Q30),0.2))</f>
        <v>-0.2</v>
      </c>
      <c r="U30" s="5">
        <f t="shared" si="56"/>
        <v>-0.2</v>
      </c>
      <c r="V30" s="5">
        <f t="shared" si="56"/>
        <v>0.2</v>
      </c>
      <c r="W30" s="2">
        <f t="shared" ref="W30:Y30" si="57">Q30^2</f>
        <v>1.8065829301687986E-2</v>
      </c>
      <c r="X30" s="2">
        <f t="shared" si="57"/>
        <v>5.4197488606280229E-2</v>
      </c>
      <c r="Y30" s="2">
        <f t="shared" si="57"/>
        <v>7.2263317968169719E-2</v>
      </c>
    </row>
    <row r="31" spans="1:25" x14ac:dyDescent="0.7">
      <c r="A31" t="s">
        <v>56</v>
      </c>
      <c r="B31" s="3">
        <v>0.64099537037037035</v>
      </c>
      <c r="C31" t="s">
        <v>57</v>
      </c>
      <c r="D31" s="2">
        <v>37.632950000000001</v>
      </c>
      <c r="E31" t="s">
        <v>58</v>
      </c>
      <c r="F31" s="2">
        <v>141.01276666666666</v>
      </c>
      <c r="G31" t="s">
        <v>59</v>
      </c>
      <c r="H31" s="4">
        <v>0</v>
      </c>
      <c r="I31" s="5">
        <v>93.8</v>
      </c>
      <c r="J31">
        <v>170220</v>
      </c>
      <c r="M31" t="s">
        <v>57</v>
      </c>
      <c r="N31" t="s">
        <v>88</v>
      </c>
      <c r="O31" s="2">
        <v>-2.7777777944493209E-6</v>
      </c>
      <c r="P31" s="2">
        <v>-1.0416666498258564E-6</v>
      </c>
      <c r="Q31" s="2">
        <v>-0.31521748439906938</v>
      </c>
      <c r="R31" s="2">
        <v>-9.5041647553443909E-2</v>
      </c>
      <c r="S31" s="2">
        <v>0.31521748439906938</v>
      </c>
      <c r="T31" s="5">
        <f t="shared" ref="T31:V31" si="58">IFERROR(MROUND(Q31,0.2),-MROUND(ABS(Q31),0.2))</f>
        <v>-0.4</v>
      </c>
      <c r="U31" s="5">
        <f t="shared" si="58"/>
        <v>0</v>
      </c>
      <c r="V31" s="5">
        <f t="shared" si="58"/>
        <v>0.4</v>
      </c>
      <c r="W31" s="2">
        <f t="shared" ref="W31:Y31" si="59">Q31^2</f>
        <v>9.9362062470877546E-2</v>
      </c>
      <c r="X31" s="2">
        <f t="shared" si="59"/>
        <v>9.0329147696730505E-3</v>
      </c>
      <c r="Y31" s="2">
        <f t="shared" si="59"/>
        <v>9.9362062470877546E-2</v>
      </c>
    </row>
    <row r="32" spans="1:25" x14ac:dyDescent="0.7">
      <c r="A32" t="s">
        <v>56</v>
      </c>
      <c r="B32" s="3">
        <v>0.6410069444444445</v>
      </c>
      <c r="C32" t="s">
        <v>57</v>
      </c>
      <c r="D32" s="2">
        <v>37.632951666666671</v>
      </c>
      <c r="E32" t="s">
        <v>58</v>
      </c>
      <c r="F32" s="2">
        <v>141.01276666666666</v>
      </c>
      <c r="G32" t="s">
        <v>59</v>
      </c>
      <c r="H32" s="4">
        <v>0</v>
      </c>
      <c r="I32" s="5">
        <v>93.8</v>
      </c>
      <c r="J32">
        <v>170220</v>
      </c>
      <c r="M32" t="s">
        <v>57</v>
      </c>
      <c r="N32" t="s">
        <v>88</v>
      </c>
      <c r="O32" s="2">
        <v>-1.1111111248851557E-6</v>
      </c>
      <c r="P32" s="2">
        <v>-1.0416666498258564E-6</v>
      </c>
      <c r="Q32" s="2">
        <v>-0.13440918607627972</v>
      </c>
      <c r="R32" s="2">
        <v>-9.5041647553443909E-2</v>
      </c>
      <c r="S32" s="2">
        <v>0.13440918607627972</v>
      </c>
      <c r="T32" s="5">
        <f t="shared" ref="T32:V32" si="60">IFERROR(MROUND(Q32,0.2),-MROUND(ABS(Q32),0.2))</f>
        <v>-0.2</v>
      </c>
      <c r="U32" s="5">
        <f t="shared" si="60"/>
        <v>0</v>
      </c>
      <c r="V32" s="5">
        <f t="shared" si="60"/>
        <v>0.2</v>
      </c>
      <c r="W32" s="2">
        <f t="shared" ref="W32:Y32" si="61">Q32^2</f>
        <v>1.8065829301687986E-2</v>
      </c>
      <c r="X32" s="2">
        <f t="shared" si="61"/>
        <v>9.0329147696730505E-3</v>
      </c>
      <c r="Y32" s="2">
        <f t="shared" si="61"/>
        <v>1.8065829301687986E-2</v>
      </c>
    </row>
    <row r="33" spans="1:25" x14ac:dyDescent="0.7">
      <c r="A33" t="s">
        <v>56</v>
      </c>
      <c r="B33" s="3">
        <v>0.64101851851851854</v>
      </c>
      <c r="C33" t="s">
        <v>57</v>
      </c>
      <c r="D33" s="2">
        <v>37.632951666666671</v>
      </c>
      <c r="E33" t="s">
        <v>58</v>
      </c>
      <c r="F33" s="2">
        <v>141.01276833333336</v>
      </c>
      <c r="G33" t="s">
        <v>59</v>
      </c>
      <c r="H33" s="4">
        <v>0</v>
      </c>
      <c r="I33" s="5">
        <v>93.8</v>
      </c>
      <c r="J33">
        <v>170220</v>
      </c>
      <c r="M33" t="s">
        <v>57</v>
      </c>
      <c r="N33" t="s">
        <v>68</v>
      </c>
      <c r="O33" s="2">
        <v>-1.1111111248851557E-6</v>
      </c>
      <c r="P33" s="2">
        <v>6.2500004105459084E-7</v>
      </c>
      <c r="Q33" s="2">
        <v>-0.13440918607627972</v>
      </c>
      <c r="R33" s="2">
        <v>9.5041647553443909E-2</v>
      </c>
      <c r="S33" s="2">
        <v>0.13440918607627972</v>
      </c>
      <c r="T33" s="5">
        <f t="shared" ref="T33:V33" si="62">IFERROR(MROUND(Q33,0.2),-MROUND(ABS(Q33),0.2))</f>
        <v>-0.2</v>
      </c>
      <c r="U33" s="5">
        <f t="shared" si="62"/>
        <v>0</v>
      </c>
      <c r="V33" s="5">
        <f t="shared" si="62"/>
        <v>0.2</v>
      </c>
      <c r="W33" s="2">
        <f t="shared" ref="W33:Y33" si="63">Q33^2</f>
        <v>1.8065829301687986E-2</v>
      </c>
      <c r="X33" s="2">
        <f t="shared" si="63"/>
        <v>9.0329147696730505E-3</v>
      </c>
      <c r="Y33" s="2">
        <f t="shared" si="63"/>
        <v>1.8065829301687986E-2</v>
      </c>
    </row>
    <row r="34" spans="1:25" x14ac:dyDescent="0.7">
      <c r="A34" t="s">
        <v>56</v>
      </c>
      <c r="B34" s="3">
        <v>0.64103009259259258</v>
      </c>
      <c r="C34" t="s">
        <v>57</v>
      </c>
      <c r="D34" s="2">
        <v>37.632951666666671</v>
      </c>
      <c r="E34" t="s">
        <v>58</v>
      </c>
      <c r="F34" s="2">
        <v>141.01277166666665</v>
      </c>
      <c r="G34" t="s">
        <v>59</v>
      </c>
      <c r="H34" s="4">
        <v>0.37040000000000006</v>
      </c>
      <c r="I34" s="5">
        <v>93.8</v>
      </c>
      <c r="J34">
        <v>170220</v>
      </c>
      <c r="M34" t="s">
        <v>57</v>
      </c>
      <c r="N34" t="s">
        <v>67</v>
      </c>
      <c r="O34" s="2">
        <v>-1.1111111248851557E-6</v>
      </c>
      <c r="P34" s="2">
        <v>3.9583333375503571E-6</v>
      </c>
      <c r="Q34" s="2">
        <v>-0.13440918607627972</v>
      </c>
      <c r="R34" s="2">
        <v>0.34267753328923733</v>
      </c>
      <c r="S34" s="2">
        <v>0.36809471724311571</v>
      </c>
      <c r="T34" s="5">
        <f t="shared" ref="T34:V34" si="64">IFERROR(MROUND(Q34,0.2),-MROUND(ABS(Q34),0.2))</f>
        <v>-0.2</v>
      </c>
      <c r="U34" s="5">
        <f t="shared" si="64"/>
        <v>0.4</v>
      </c>
      <c r="V34" s="5">
        <f t="shared" si="64"/>
        <v>0.4</v>
      </c>
      <c r="W34" s="2">
        <f t="shared" ref="W34:Y34" si="65">Q34^2</f>
        <v>1.8065829301687986E-2</v>
      </c>
      <c r="X34" s="2">
        <f t="shared" si="65"/>
        <v>0.11742789182119637</v>
      </c>
      <c r="Y34" s="2">
        <f t="shared" si="65"/>
        <v>0.13549372086228931</v>
      </c>
    </row>
    <row r="35" spans="1:25" x14ac:dyDescent="0.7">
      <c r="A35" t="s">
        <v>56</v>
      </c>
      <c r="B35" s="3">
        <v>0.64104166666666662</v>
      </c>
      <c r="C35" t="s">
        <v>57</v>
      </c>
      <c r="D35" s="2">
        <v>37.632951666666671</v>
      </c>
      <c r="E35" t="s">
        <v>58</v>
      </c>
      <c r="F35" s="2">
        <v>141.01277333333334</v>
      </c>
      <c r="G35" t="s">
        <v>59</v>
      </c>
      <c r="H35" s="4">
        <v>0.37040000000000006</v>
      </c>
      <c r="I35" s="5">
        <v>93.8</v>
      </c>
      <c r="J35">
        <v>170220</v>
      </c>
      <c r="M35" t="s">
        <v>57</v>
      </c>
      <c r="N35" t="s">
        <v>61</v>
      </c>
      <c r="O35" s="2">
        <v>-1.1111111248851557E-6</v>
      </c>
      <c r="P35" s="2">
        <v>5.6250000284308044E-6</v>
      </c>
      <c r="Q35" s="2">
        <v>-0.13440918607627972</v>
      </c>
      <c r="R35" s="2">
        <v>0.49385088682649281</v>
      </c>
      <c r="S35" s="2">
        <v>0.51181493468277584</v>
      </c>
      <c r="T35" s="5">
        <f t="shared" ref="T35:V35" si="66">IFERROR(MROUND(Q35,0.2),-MROUND(ABS(Q35),0.2))</f>
        <v>-0.2</v>
      </c>
      <c r="U35" s="5">
        <f t="shared" si="66"/>
        <v>0.4</v>
      </c>
      <c r="V35" s="5">
        <f t="shared" si="66"/>
        <v>0.60000000000000009</v>
      </c>
      <c r="W35" s="2">
        <f t="shared" ref="W35:Y35" si="67">Q35^2</f>
        <v>1.8065829301687986E-2</v>
      </c>
      <c r="X35" s="2">
        <f t="shared" si="67"/>
        <v>0.2438886984193134</v>
      </c>
      <c r="Y35" s="2">
        <f t="shared" si="67"/>
        <v>0.26195452736433411</v>
      </c>
    </row>
    <row r="36" spans="1:25" x14ac:dyDescent="0.7">
      <c r="A36" t="s">
        <v>56</v>
      </c>
      <c r="B36" s="3">
        <v>0.64105324074074077</v>
      </c>
      <c r="C36" t="s">
        <v>57</v>
      </c>
      <c r="D36" s="2">
        <v>37.632950000000001</v>
      </c>
      <c r="E36" t="s">
        <v>58</v>
      </c>
      <c r="F36" s="2">
        <v>141.012775</v>
      </c>
      <c r="G36" t="s">
        <v>59</v>
      </c>
      <c r="H36" s="4">
        <v>0.37040000000000006</v>
      </c>
      <c r="I36" s="5">
        <v>93.8</v>
      </c>
      <c r="J36">
        <v>170220</v>
      </c>
      <c r="M36" t="s">
        <v>57</v>
      </c>
      <c r="N36" t="s">
        <v>64</v>
      </c>
      <c r="O36" s="2">
        <v>-2.7777777944493209E-6</v>
      </c>
      <c r="P36" s="2">
        <v>7.2916666908895422E-6</v>
      </c>
      <c r="Q36" s="2">
        <v>-0.31521748439906938</v>
      </c>
      <c r="R36" s="2">
        <v>0.64460381522324806</v>
      </c>
      <c r="S36" s="2">
        <v>0.71754870300361073</v>
      </c>
      <c r="T36" s="5">
        <f t="shared" ref="T36:V36" si="68">IFERROR(MROUND(Q36,0.2),-MROUND(ABS(Q36),0.2))</f>
        <v>-0.4</v>
      </c>
      <c r="U36" s="5">
        <f t="shared" si="68"/>
        <v>0.60000000000000009</v>
      </c>
      <c r="V36" s="5">
        <f t="shared" si="68"/>
        <v>0.8</v>
      </c>
      <c r="W36" s="2">
        <f t="shared" ref="W36:Y36" si="69">Q36^2</f>
        <v>9.9362062470877546E-2</v>
      </c>
      <c r="X36" s="2">
        <f t="shared" si="69"/>
        <v>0.41551407860036732</v>
      </c>
      <c r="Y36" s="2">
        <f t="shared" si="69"/>
        <v>0.51487614118216396</v>
      </c>
    </row>
    <row r="37" spans="1:25" x14ac:dyDescent="0.7">
      <c r="A37" t="s">
        <v>56</v>
      </c>
      <c r="B37" s="3">
        <v>0.64106481481481481</v>
      </c>
      <c r="C37" t="s">
        <v>57</v>
      </c>
      <c r="D37" s="2">
        <v>37.632950000000001</v>
      </c>
      <c r="E37" t="s">
        <v>58</v>
      </c>
      <c r="F37" s="2">
        <v>141.012775</v>
      </c>
      <c r="G37" t="s">
        <v>59</v>
      </c>
      <c r="H37" s="4">
        <v>0</v>
      </c>
      <c r="I37" s="5">
        <v>93.8</v>
      </c>
      <c r="J37">
        <v>170220</v>
      </c>
      <c r="M37" t="s">
        <v>57</v>
      </c>
      <c r="N37" t="s">
        <v>66</v>
      </c>
      <c r="O37" s="2">
        <v>-2.7777777944493209E-6</v>
      </c>
      <c r="P37" s="2">
        <v>7.2916666908895422E-6</v>
      </c>
      <c r="Q37" s="2">
        <v>-0.31521748439906938</v>
      </c>
      <c r="R37" s="2">
        <v>0.64460381522324806</v>
      </c>
      <c r="S37" s="2">
        <v>0.71754870300361073</v>
      </c>
      <c r="T37" s="5">
        <f t="shared" ref="T37:V37" si="70">IFERROR(MROUND(Q37,0.2),-MROUND(ABS(Q37),0.2))</f>
        <v>-0.4</v>
      </c>
      <c r="U37" s="5">
        <f t="shared" si="70"/>
        <v>0.60000000000000009</v>
      </c>
      <c r="V37" s="5">
        <f t="shared" si="70"/>
        <v>0.8</v>
      </c>
      <c r="W37" s="2">
        <f t="shared" ref="W37:Y37" si="71">Q37^2</f>
        <v>9.9362062470877546E-2</v>
      </c>
      <c r="X37" s="2">
        <f t="shared" si="71"/>
        <v>0.41551407860036732</v>
      </c>
      <c r="Y37" s="2">
        <f t="shared" si="71"/>
        <v>0.51487614118216396</v>
      </c>
    </row>
    <row r="38" spans="1:25" x14ac:dyDescent="0.7">
      <c r="A38" t="s">
        <v>56</v>
      </c>
      <c r="B38" s="3">
        <v>0.64107638888888896</v>
      </c>
      <c r="C38" t="s">
        <v>57</v>
      </c>
      <c r="D38" s="2">
        <v>37.632951666666671</v>
      </c>
      <c r="E38" t="s">
        <v>58</v>
      </c>
      <c r="F38" s="2">
        <v>141.012775</v>
      </c>
      <c r="G38" t="s">
        <v>59</v>
      </c>
      <c r="H38" s="4">
        <v>0</v>
      </c>
      <c r="I38" s="5">
        <v>93.8</v>
      </c>
      <c r="J38">
        <v>170220</v>
      </c>
      <c r="M38" t="s">
        <v>57</v>
      </c>
      <c r="N38" t="s">
        <v>66</v>
      </c>
      <c r="O38" s="2">
        <v>-1.1111111248851557E-6</v>
      </c>
      <c r="P38" s="2">
        <v>7.2916666908895422E-6</v>
      </c>
      <c r="Q38" s="2">
        <v>-0.13440918607627972</v>
      </c>
      <c r="R38" s="2">
        <v>0.64460381522324806</v>
      </c>
      <c r="S38" s="2">
        <v>0.65846784910199041</v>
      </c>
      <c r="T38" s="5">
        <f t="shared" ref="T38:V38" si="72">IFERROR(MROUND(Q38,0.2),-MROUND(ABS(Q38),0.2))</f>
        <v>-0.2</v>
      </c>
      <c r="U38" s="5">
        <f t="shared" si="72"/>
        <v>0.60000000000000009</v>
      </c>
      <c r="V38" s="5">
        <f t="shared" si="72"/>
        <v>0.60000000000000009</v>
      </c>
      <c r="W38" s="2">
        <f t="shared" ref="W38:Y38" si="73">Q38^2</f>
        <v>1.8065829301687986E-2</v>
      </c>
      <c r="X38" s="2">
        <f t="shared" si="73"/>
        <v>0.41551407860036732</v>
      </c>
      <c r="Y38" s="2">
        <f t="shared" si="73"/>
        <v>0.43357990830100163</v>
      </c>
    </row>
    <row r="39" spans="1:25" x14ac:dyDescent="0.7">
      <c r="A39" t="s">
        <v>56</v>
      </c>
      <c r="B39" s="3">
        <v>0.641087962962963</v>
      </c>
      <c r="C39" t="s">
        <v>57</v>
      </c>
      <c r="D39" s="2">
        <v>37.632951666666671</v>
      </c>
      <c r="E39" t="s">
        <v>58</v>
      </c>
      <c r="F39" s="2">
        <v>141.012775</v>
      </c>
      <c r="G39" t="s">
        <v>59</v>
      </c>
      <c r="H39" s="4">
        <v>0</v>
      </c>
      <c r="I39" s="5">
        <v>93.8</v>
      </c>
      <c r="J39">
        <v>170220</v>
      </c>
      <c r="M39" t="s">
        <v>57</v>
      </c>
      <c r="N39" t="s">
        <v>67</v>
      </c>
      <c r="O39" s="2">
        <v>-1.1111111248851557E-6</v>
      </c>
      <c r="P39" s="2">
        <v>7.2916666908895422E-6</v>
      </c>
      <c r="Q39" s="2">
        <v>-0.13440918607627972</v>
      </c>
      <c r="R39" s="2">
        <v>0.64460381522324806</v>
      </c>
      <c r="S39" s="2">
        <v>0.65846784910199041</v>
      </c>
      <c r="T39" s="5">
        <f t="shared" ref="T39:V39" si="74">IFERROR(MROUND(Q39,0.2),-MROUND(ABS(Q39),0.2))</f>
        <v>-0.2</v>
      </c>
      <c r="U39" s="5">
        <f t="shared" si="74"/>
        <v>0.60000000000000009</v>
      </c>
      <c r="V39" s="5">
        <f t="shared" si="74"/>
        <v>0.60000000000000009</v>
      </c>
      <c r="W39" s="2">
        <f t="shared" ref="W39:Y39" si="75">Q39^2</f>
        <v>1.8065829301687986E-2</v>
      </c>
      <c r="X39" s="2">
        <f t="shared" si="75"/>
        <v>0.41551407860036732</v>
      </c>
      <c r="Y39" s="2">
        <f t="shared" si="75"/>
        <v>0.43357990830100163</v>
      </c>
    </row>
    <row r="40" spans="1:25" x14ac:dyDescent="0.7">
      <c r="A40" t="s">
        <v>56</v>
      </c>
      <c r="B40" s="3">
        <v>0.64109953703703704</v>
      </c>
      <c r="C40" t="s">
        <v>57</v>
      </c>
      <c r="D40" s="2">
        <v>37.632953333333333</v>
      </c>
      <c r="E40" t="s">
        <v>58</v>
      </c>
      <c r="F40" s="2">
        <v>141.012775</v>
      </c>
      <c r="G40" t="s">
        <v>59</v>
      </c>
      <c r="H40" s="4">
        <v>0.37040000000000006</v>
      </c>
      <c r="I40" s="5">
        <v>93.8</v>
      </c>
      <c r="J40">
        <v>170220</v>
      </c>
      <c r="M40" t="s">
        <v>57</v>
      </c>
      <c r="N40" t="s">
        <v>67</v>
      </c>
      <c r="O40" s="2">
        <v>5.5555553757358211E-7</v>
      </c>
      <c r="P40" s="2">
        <v>7.2916666908895422E-6</v>
      </c>
      <c r="Q40" s="2">
        <v>9.5041647553443909E-2</v>
      </c>
      <c r="R40" s="2">
        <v>0.64460381522324806</v>
      </c>
      <c r="S40" s="2">
        <v>0.64460381522324806</v>
      </c>
      <c r="T40" s="5">
        <f t="shared" ref="T40:V40" si="76">IFERROR(MROUND(Q40,0.2),-MROUND(ABS(Q40),0.2))</f>
        <v>0</v>
      </c>
      <c r="U40" s="5">
        <f t="shared" si="76"/>
        <v>0.60000000000000009</v>
      </c>
      <c r="V40" s="5">
        <f t="shared" si="76"/>
        <v>0.60000000000000009</v>
      </c>
      <c r="W40" s="2">
        <f t="shared" ref="W40:Y40" si="77">Q40^2</f>
        <v>9.0329147696730505E-3</v>
      </c>
      <c r="X40" s="2">
        <f t="shared" si="77"/>
        <v>0.41551407860036732</v>
      </c>
      <c r="Y40" s="2">
        <f t="shared" si="77"/>
        <v>0.41551407860036732</v>
      </c>
    </row>
    <row r="41" spans="1:25" x14ac:dyDescent="0.7">
      <c r="A41" t="s">
        <v>56</v>
      </c>
      <c r="B41" s="3">
        <v>0.64111111111111108</v>
      </c>
      <c r="C41" t="s">
        <v>57</v>
      </c>
      <c r="D41" s="2">
        <v>37.632953333333333</v>
      </c>
      <c r="E41" t="s">
        <v>58</v>
      </c>
      <c r="F41" s="2">
        <v>141.01277666666667</v>
      </c>
      <c r="G41" t="s">
        <v>59</v>
      </c>
      <c r="H41" s="4">
        <v>0</v>
      </c>
      <c r="I41" s="5">
        <v>93.8</v>
      </c>
      <c r="J41">
        <v>170220</v>
      </c>
      <c r="M41" t="s">
        <v>57</v>
      </c>
      <c r="N41" t="s">
        <v>65</v>
      </c>
      <c r="O41" s="2">
        <v>5.5555553757358211E-7</v>
      </c>
      <c r="P41" s="2">
        <v>8.9583333533482801E-6</v>
      </c>
      <c r="Q41" s="2">
        <v>9.5041647553443909E-2</v>
      </c>
      <c r="R41" s="2">
        <v>0.78947521737459492</v>
      </c>
      <c r="S41" s="2">
        <v>0.79517547314463655</v>
      </c>
      <c r="T41" s="5">
        <f t="shared" ref="T41:V41" si="78">IFERROR(MROUND(Q41,0.2),-MROUND(ABS(Q41),0.2))</f>
        <v>0</v>
      </c>
      <c r="U41" s="5">
        <f t="shared" si="78"/>
        <v>0.8</v>
      </c>
      <c r="V41" s="5">
        <f t="shared" si="78"/>
        <v>0.8</v>
      </c>
      <c r="W41" s="2">
        <f t="shared" ref="W41:Y41" si="79">Q41^2</f>
        <v>9.0329147696730505E-3</v>
      </c>
      <c r="X41" s="2">
        <f t="shared" si="79"/>
        <v>0.62327111884866393</v>
      </c>
      <c r="Y41" s="2">
        <f t="shared" si="79"/>
        <v>0.63230403309079664</v>
      </c>
    </row>
    <row r="42" spans="1:25" x14ac:dyDescent="0.7">
      <c r="A42" t="s">
        <v>56</v>
      </c>
      <c r="B42" s="3">
        <v>0.64112268518518511</v>
      </c>
      <c r="C42" t="s">
        <v>57</v>
      </c>
      <c r="D42" s="2">
        <v>37.632955000000003</v>
      </c>
      <c r="E42" t="s">
        <v>58</v>
      </c>
      <c r="F42" s="2">
        <v>141.01277666666667</v>
      </c>
      <c r="G42" t="s">
        <v>59</v>
      </c>
      <c r="H42" s="4">
        <v>0</v>
      </c>
      <c r="I42" s="5">
        <v>93.8</v>
      </c>
      <c r="J42">
        <v>170220</v>
      </c>
      <c r="M42" t="s">
        <v>57</v>
      </c>
      <c r="N42" t="s">
        <v>65</v>
      </c>
      <c r="O42" s="2">
        <v>2.2222222071377473E-6</v>
      </c>
      <c r="P42" s="2">
        <v>8.9583333533482801E-6</v>
      </c>
      <c r="Q42" s="2">
        <v>0.25145656374481296</v>
      </c>
      <c r="R42" s="2">
        <v>0.78947521737459492</v>
      </c>
      <c r="S42" s="2">
        <v>0.82855387453257401</v>
      </c>
      <c r="T42" s="5">
        <f t="shared" ref="T42:V42" si="80">IFERROR(MROUND(Q42,0.2),-MROUND(ABS(Q42),0.2))</f>
        <v>0.2</v>
      </c>
      <c r="U42" s="5">
        <f t="shared" si="80"/>
        <v>0.8</v>
      </c>
      <c r="V42" s="5">
        <f t="shared" si="80"/>
        <v>0.8</v>
      </c>
      <c r="W42" s="2">
        <f t="shared" ref="W42:Y42" si="81">Q42^2</f>
        <v>6.3230403450349179E-2</v>
      </c>
      <c r="X42" s="2">
        <f t="shared" si="81"/>
        <v>0.62327111884866393</v>
      </c>
      <c r="Y42" s="2">
        <f t="shared" si="81"/>
        <v>0.68650152300294043</v>
      </c>
    </row>
    <row r="43" spans="1:25" x14ac:dyDescent="0.7">
      <c r="A43" t="s">
        <v>56</v>
      </c>
      <c r="B43" s="3">
        <v>0.64113425925925926</v>
      </c>
      <c r="C43" t="s">
        <v>57</v>
      </c>
      <c r="D43" s="2">
        <v>37.632955000000003</v>
      </c>
      <c r="E43" t="s">
        <v>58</v>
      </c>
      <c r="F43" s="2">
        <v>141.01277833333333</v>
      </c>
      <c r="G43" t="s">
        <v>59</v>
      </c>
      <c r="H43" s="4">
        <v>0</v>
      </c>
      <c r="I43" s="5">
        <v>93.8</v>
      </c>
      <c r="J43">
        <v>170220</v>
      </c>
      <c r="M43" t="s">
        <v>57</v>
      </c>
      <c r="N43" t="s">
        <v>61</v>
      </c>
      <c r="O43" s="2">
        <v>2.2222222071377473E-6</v>
      </c>
      <c r="P43" s="2">
        <v>1.0625000015807018E-5</v>
      </c>
      <c r="Q43" s="2">
        <v>0.25145656374481296</v>
      </c>
      <c r="R43" s="2">
        <v>0.93605167231942299</v>
      </c>
      <c r="S43" s="2">
        <v>0.96923843075680649</v>
      </c>
      <c r="T43" s="5">
        <f t="shared" ref="T43:V43" si="82">IFERROR(MROUND(Q43,0.2),-MROUND(ABS(Q43),0.2))</f>
        <v>0.2</v>
      </c>
      <c r="U43" s="5">
        <f t="shared" si="82"/>
        <v>1</v>
      </c>
      <c r="V43" s="5">
        <f t="shared" si="82"/>
        <v>1</v>
      </c>
      <c r="W43" s="2">
        <f t="shared" ref="W43:Y43" si="83">Q43^2</f>
        <v>6.3230403450349179E-2</v>
      </c>
      <c r="X43" s="2">
        <f t="shared" si="83"/>
        <v>0.87619273325198843</v>
      </c>
      <c r="Y43" s="2">
        <f t="shared" si="83"/>
        <v>0.93942313565591673</v>
      </c>
    </row>
    <row r="44" spans="1:25" x14ac:dyDescent="0.7">
      <c r="A44" t="s">
        <v>56</v>
      </c>
      <c r="B44" s="3">
        <v>0.64116898148148149</v>
      </c>
      <c r="C44" t="s">
        <v>57</v>
      </c>
      <c r="D44" s="2">
        <v>37.632956666666672</v>
      </c>
      <c r="E44" t="s">
        <v>58</v>
      </c>
      <c r="F44" s="2">
        <v>141.01266666666666</v>
      </c>
      <c r="G44" t="s">
        <v>59</v>
      </c>
      <c r="H44" s="4">
        <v>0.37040000000000006</v>
      </c>
      <c r="I44" s="5">
        <v>93.8</v>
      </c>
      <c r="J44">
        <v>170220</v>
      </c>
      <c r="M44" t="s">
        <v>57</v>
      </c>
      <c r="N44" t="s">
        <v>61</v>
      </c>
      <c r="O44" s="2">
        <v>3.8888888767019125E-6</v>
      </c>
      <c r="P44" s="2">
        <v>-1.0104166665314551E-4</v>
      </c>
      <c r="Q44" s="2">
        <v>0.42503916840551237</v>
      </c>
      <c r="R44" s="2">
        <v>-8.9075879630634489</v>
      </c>
      <c r="S44" s="2">
        <v>8.9182293394298267</v>
      </c>
      <c r="T44" s="5">
        <f t="shared" ref="T44:V44" si="84">IFERROR(MROUND(Q44,0.2),-MROUND(ABS(Q44),0.2))</f>
        <v>0.4</v>
      </c>
      <c r="U44" s="5">
        <f t="shared" si="84"/>
        <v>-9</v>
      </c>
      <c r="V44" s="5">
        <f t="shared" si="84"/>
        <v>9</v>
      </c>
      <c r="W44" s="2">
        <f t="shared" ref="W44:Y44" si="85">Q44^2</f>
        <v>0.1806582946788495</v>
      </c>
      <c r="X44" s="2">
        <f t="shared" si="85"/>
        <v>79.34512331971284</v>
      </c>
      <c r="Y44" s="2">
        <f t="shared" si="85"/>
        <v>79.534814550666965</v>
      </c>
    </row>
    <row r="45" spans="1:25" x14ac:dyDescent="0.7">
      <c r="A45" t="s">
        <v>56</v>
      </c>
      <c r="B45" s="3">
        <v>0.64118055555555553</v>
      </c>
      <c r="C45" t="s">
        <v>57</v>
      </c>
      <c r="D45" s="2">
        <v>37.632958333333335</v>
      </c>
      <c r="E45" t="s">
        <v>58</v>
      </c>
      <c r="F45" s="2">
        <v>141.01278499999998</v>
      </c>
      <c r="G45" t="s">
        <v>59</v>
      </c>
      <c r="H45" s="4">
        <v>0</v>
      </c>
      <c r="I45" s="5">
        <v>93.8</v>
      </c>
      <c r="J45">
        <v>170220</v>
      </c>
      <c r="M45" t="s">
        <v>57</v>
      </c>
      <c r="N45" t="s">
        <v>87</v>
      </c>
      <c r="O45" s="2">
        <v>5.5555555391606504E-6</v>
      </c>
      <c r="P45" s="2">
        <v>1.7291666665641969E-5</v>
      </c>
      <c r="Q45" s="2">
        <v>0.61594027313272059</v>
      </c>
      <c r="R45" s="2">
        <v>1.523633517565167</v>
      </c>
      <c r="S45" s="2">
        <v>1.6434237167188768</v>
      </c>
      <c r="T45" s="5">
        <f t="shared" ref="T45:V45" si="86">IFERROR(MROUND(Q45,0.2),-MROUND(ABS(Q45),0.2))</f>
        <v>0.60000000000000009</v>
      </c>
      <c r="U45" s="5">
        <f t="shared" si="86"/>
        <v>1.6</v>
      </c>
      <c r="V45" s="5">
        <f t="shared" si="86"/>
        <v>1.6</v>
      </c>
      <c r="W45" s="2">
        <f t="shared" ref="W45:Y45" si="87">Q45^2</f>
        <v>0.37938242006681044</v>
      </c>
      <c r="X45" s="2">
        <f t="shared" si="87"/>
        <v>2.3214590958480041</v>
      </c>
      <c r="Y45" s="2">
        <f t="shared" si="87"/>
        <v>2.7008415126740868</v>
      </c>
    </row>
    <row r="46" spans="1:25" x14ac:dyDescent="0.7">
      <c r="A46" t="s">
        <v>56</v>
      </c>
      <c r="B46" s="3">
        <v>0.64119212962962957</v>
      </c>
      <c r="C46" t="s">
        <v>57</v>
      </c>
      <c r="D46" s="2">
        <v>37.632960000000004</v>
      </c>
      <c r="E46" t="s">
        <v>58</v>
      </c>
      <c r="F46" s="2">
        <v>141.01278499999998</v>
      </c>
      <c r="G46" t="s">
        <v>59</v>
      </c>
      <c r="H46" s="4">
        <v>0</v>
      </c>
      <c r="I46" s="5">
        <v>93.8</v>
      </c>
      <c r="J46">
        <v>170220</v>
      </c>
      <c r="M46" t="s">
        <v>57</v>
      </c>
      <c r="N46" t="s">
        <v>60</v>
      </c>
      <c r="O46" s="2">
        <v>7.2222222087248156E-6</v>
      </c>
      <c r="P46" s="2">
        <v>1.7291666665641969E-5</v>
      </c>
      <c r="Q46" s="2">
        <v>0.80083515673155925</v>
      </c>
      <c r="R46" s="2">
        <v>1.523633517565167</v>
      </c>
      <c r="S46" s="2">
        <v>1.7238993472182587</v>
      </c>
      <c r="T46" s="5">
        <f t="shared" ref="T46:V46" si="88">IFERROR(MROUND(Q46,0.2),-MROUND(ABS(Q46),0.2))</f>
        <v>0.8</v>
      </c>
      <c r="U46" s="5">
        <f t="shared" si="88"/>
        <v>1.6</v>
      </c>
      <c r="V46" s="5">
        <f t="shared" si="88"/>
        <v>1.8</v>
      </c>
      <c r="W46" s="2">
        <f t="shared" ref="W46:Y46" si="89">Q46^2</f>
        <v>0.64133694825726106</v>
      </c>
      <c r="X46" s="2">
        <f t="shared" si="89"/>
        <v>2.3214590958480041</v>
      </c>
      <c r="Y46" s="2">
        <f t="shared" si="89"/>
        <v>2.9718289593395384</v>
      </c>
    </row>
    <row r="47" spans="1:25" x14ac:dyDescent="0.7">
      <c r="A47" t="s">
        <v>56</v>
      </c>
      <c r="B47" s="3">
        <v>0.64189814814814816</v>
      </c>
      <c r="C47" t="s">
        <v>57</v>
      </c>
      <c r="D47" s="2">
        <v>37.632964999999999</v>
      </c>
      <c r="E47" t="s">
        <v>58</v>
      </c>
      <c r="F47" s="2">
        <v>141.01283166666664</v>
      </c>
      <c r="G47" t="s">
        <v>59</v>
      </c>
      <c r="H47" s="4">
        <v>0</v>
      </c>
      <c r="I47" s="5">
        <v>91.3</v>
      </c>
      <c r="J47">
        <v>170220</v>
      </c>
      <c r="M47" t="s">
        <v>57</v>
      </c>
      <c r="N47" t="s">
        <v>63</v>
      </c>
      <c r="O47" s="2">
        <v>3.6231882916126779E-7</v>
      </c>
      <c r="P47" s="2">
        <v>-7.9710145257649856E-6</v>
      </c>
      <c r="Q47" s="2">
        <v>0</v>
      </c>
      <c r="R47" s="2">
        <v>-0.69841062238236473</v>
      </c>
      <c r="S47" s="2">
        <v>0.69841062238236473</v>
      </c>
      <c r="T47" s="5">
        <f t="shared" ref="T47:V47" si="90">IFERROR(MROUND(Q47,0.2),-MROUND(ABS(Q47),0.2))</f>
        <v>0</v>
      </c>
      <c r="U47" s="5">
        <f t="shared" si="90"/>
        <v>-0.60000000000000009</v>
      </c>
      <c r="V47" s="5">
        <f t="shared" si="90"/>
        <v>0.60000000000000009</v>
      </c>
      <c r="W47" s="2">
        <f t="shared" ref="W47:Y47" si="91">Q47^2</f>
        <v>0</v>
      </c>
      <c r="X47" s="2">
        <f t="shared" si="91"/>
        <v>0.48777739745652204</v>
      </c>
      <c r="Y47" s="2">
        <f t="shared" si="91"/>
        <v>0.48777739745652204</v>
      </c>
    </row>
    <row r="48" spans="1:25" x14ac:dyDescent="0.7">
      <c r="A48" t="s">
        <v>56</v>
      </c>
      <c r="B48" s="3">
        <v>0.6419097222222222</v>
      </c>
      <c r="C48" t="s">
        <v>57</v>
      </c>
      <c r="D48" s="2">
        <v>37.632963333333336</v>
      </c>
      <c r="E48" t="s">
        <v>58</v>
      </c>
      <c r="F48" s="2">
        <v>141.01283333333333</v>
      </c>
      <c r="G48" t="s">
        <v>59</v>
      </c>
      <c r="H48" s="4">
        <v>0</v>
      </c>
      <c r="I48" s="5">
        <v>91.3</v>
      </c>
      <c r="J48">
        <v>170220</v>
      </c>
      <c r="M48" t="s">
        <v>57</v>
      </c>
      <c r="N48" t="s">
        <v>88</v>
      </c>
      <c r="O48" s="2">
        <v>-1.3043478332974701E-6</v>
      </c>
      <c r="P48" s="2">
        <v>-6.3043478348845383E-6</v>
      </c>
      <c r="Q48" s="2">
        <v>-0.13440918607627972</v>
      </c>
      <c r="R48" s="2">
        <v>-0.55418327389718169</v>
      </c>
      <c r="S48" s="2">
        <v>0.57811577200345599</v>
      </c>
      <c r="T48" s="5">
        <f t="shared" ref="T48:V48" si="92">IFERROR(MROUND(Q48,0.2),-MROUND(ABS(Q48),0.2))</f>
        <v>-0.2</v>
      </c>
      <c r="U48" s="5">
        <f t="shared" si="92"/>
        <v>-0.60000000000000009</v>
      </c>
      <c r="V48" s="5">
        <f t="shared" si="92"/>
        <v>0.60000000000000009</v>
      </c>
      <c r="W48" s="2">
        <f t="shared" ref="W48:Y48" si="93">Q48^2</f>
        <v>1.8065829301687986E-2</v>
      </c>
      <c r="X48" s="2">
        <f t="shared" si="93"/>
        <v>0.3071191010673987</v>
      </c>
      <c r="Y48" s="2">
        <f t="shared" si="93"/>
        <v>0.33421784583915193</v>
      </c>
    </row>
    <row r="49" spans="1:25" x14ac:dyDescent="0.7">
      <c r="A49" t="s">
        <v>56</v>
      </c>
      <c r="B49" s="3">
        <v>0.64192129629629624</v>
      </c>
      <c r="C49" t="s">
        <v>57</v>
      </c>
      <c r="D49" s="2">
        <v>37.632963333333336</v>
      </c>
      <c r="E49" t="s">
        <v>58</v>
      </c>
      <c r="F49" s="2">
        <v>141.012835</v>
      </c>
      <c r="G49" t="s">
        <v>59</v>
      </c>
      <c r="H49" s="4">
        <v>0</v>
      </c>
      <c r="I49" s="5">
        <v>91.3</v>
      </c>
      <c r="J49">
        <v>170220</v>
      </c>
      <c r="M49" t="s">
        <v>57</v>
      </c>
      <c r="N49" t="s">
        <v>64</v>
      </c>
      <c r="O49" s="2">
        <v>-1.3043478332974701E-6</v>
      </c>
      <c r="P49" s="2">
        <v>-4.6376811724258005E-6</v>
      </c>
      <c r="Q49" s="2">
        <v>-0.13440918607627972</v>
      </c>
      <c r="R49" s="2">
        <v>-0.40322756106130098</v>
      </c>
      <c r="S49" s="2">
        <v>0.4355355439701365</v>
      </c>
      <c r="T49" s="5">
        <f t="shared" ref="T49:V49" si="94">IFERROR(MROUND(Q49,0.2),-MROUND(ABS(Q49),0.2))</f>
        <v>-0.2</v>
      </c>
      <c r="U49" s="5">
        <f t="shared" si="94"/>
        <v>-0.4</v>
      </c>
      <c r="V49" s="5">
        <f t="shared" si="94"/>
        <v>0.4</v>
      </c>
      <c r="W49" s="2">
        <f t="shared" ref="W49:Y49" si="95">Q49^2</f>
        <v>1.8065829301687986E-2</v>
      </c>
      <c r="X49" s="2">
        <f t="shared" si="95"/>
        <v>0.16259246599944521</v>
      </c>
      <c r="Y49" s="2">
        <f t="shared" si="95"/>
        <v>0.18969121006136269</v>
      </c>
    </row>
    <row r="50" spans="1:25" x14ac:dyDescent="0.7">
      <c r="A50" t="s">
        <v>56</v>
      </c>
      <c r="B50" s="3">
        <v>0.64193287037037039</v>
      </c>
      <c r="C50" t="s">
        <v>57</v>
      </c>
      <c r="D50" s="2">
        <v>37.632963333333336</v>
      </c>
      <c r="E50" t="s">
        <v>58</v>
      </c>
      <c r="F50" s="2">
        <v>141.012835</v>
      </c>
      <c r="G50" t="s">
        <v>59</v>
      </c>
      <c r="H50" s="4">
        <v>0</v>
      </c>
      <c r="I50" s="5">
        <v>91.3</v>
      </c>
      <c r="J50">
        <v>170220</v>
      </c>
      <c r="M50" t="s">
        <v>57</v>
      </c>
      <c r="N50" t="s">
        <v>61</v>
      </c>
      <c r="O50" s="2">
        <v>-1.3043478332974701E-6</v>
      </c>
      <c r="P50" s="2">
        <v>-4.6376811724258005E-6</v>
      </c>
      <c r="Q50" s="2">
        <v>-0.13440918607627972</v>
      </c>
      <c r="R50" s="2">
        <v>-0.40322756106130098</v>
      </c>
      <c r="S50" s="2">
        <v>0.4355355439701365</v>
      </c>
      <c r="T50" s="5">
        <f t="shared" ref="T50:V50" si="96">IFERROR(MROUND(Q50,0.2),-MROUND(ABS(Q50),0.2))</f>
        <v>-0.2</v>
      </c>
      <c r="U50" s="5">
        <f t="shared" si="96"/>
        <v>-0.4</v>
      </c>
      <c r="V50" s="5">
        <f t="shared" si="96"/>
        <v>0.4</v>
      </c>
      <c r="W50" s="2">
        <f t="shared" ref="W50:Y50" si="97">Q50^2</f>
        <v>1.8065829301687986E-2</v>
      </c>
      <c r="X50" s="2">
        <f t="shared" si="97"/>
        <v>0.16259246599944521</v>
      </c>
      <c r="Y50" s="2">
        <f t="shared" si="97"/>
        <v>0.18969121006136269</v>
      </c>
    </row>
    <row r="51" spans="1:25" x14ac:dyDescent="0.7">
      <c r="A51" t="s">
        <v>56</v>
      </c>
      <c r="B51" s="3">
        <v>0.64194444444444443</v>
      </c>
      <c r="C51" t="s">
        <v>57</v>
      </c>
      <c r="D51" s="2">
        <v>37.632966666666668</v>
      </c>
      <c r="E51" t="s">
        <v>58</v>
      </c>
      <c r="F51" s="2">
        <v>141.012835</v>
      </c>
      <c r="G51" t="s">
        <v>59</v>
      </c>
      <c r="H51" s="4">
        <v>0</v>
      </c>
      <c r="I51" s="5">
        <v>91.3</v>
      </c>
      <c r="J51">
        <v>170220</v>
      </c>
      <c r="M51" t="s">
        <v>57</v>
      </c>
      <c r="N51" t="s">
        <v>61</v>
      </c>
      <c r="O51" s="2">
        <v>2.028985498725433E-6</v>
      </c>
      <c r="P51" s="2">
        <v>-4.6376811724258005E-6</v>
      </c>
      <c r="Q51" s="2">
        <v>0.23280354079412158</v>
      </c>
      <c r="R51" s="2">
        <v>-0.40322756106130098</v>
      </c>
      <c r="S51" s="2">
        <v>0.46560708158824315</v>
      </c>
      <c r="T51" s="5">
        <f t="shared" ref="T51:V51" si="98">IFERROR(MROUND(Q51,0.2),-MROUND(ABS(Q51),0.2))</f>
        <v>0.2</v>
      </c>
      <c r="U51" s="5">
        <f t="shared" si="98"/>
        <v>-0.4</v>
      </c>
      <c r="V51" s="5">
        <f t="shared" si="98"/>
        <v>0.4</v>
      </c>
      <c r="W51" s="2">
        <f t="shared" ref="W51:Y51" si="99">Q51^2</f>
        <v>5.4197488606280229E-2</v>
      </c>
      <c r="X51" s="2">
        <f t="shared" si="99"/>
        <v>0.16259246599944521</v>
      </c>
      <c r="Y51" s="2">
        <f t="shared" si="99"/>
        <v>0.21678995442512092</v>
      </c>
    </row>
    <row r="52" spans="1:25" x14ac:dyDescent="0.7">
      <c r="A52" t="s">
        <v>56</v>
      </c>
      <c r="B52" s="3">
        <v>0.64197916666666666</v>
      </c>
      <c r="C52" t="s">
        <v>57</v>
      </c>
      <c r="D52" s="2">
        <v>37.632963333333336</v>
      </c>
      <c r="E52" t="s">
        <v>58</v>
      </c>
      <c r="F52" s="2">
        <v>141.01283833333335</v>
      </c>
      <c r="G52" t="s">
        <v>59</v>
      </c>
      <c r="H52" s="4">
        <v>0</v>
      </c>
      <c r="I52" s="5">
        <v>91.3</v>
      </c>
      <c r="J52">
        <v>170220</v>
      </c>
      <c r="M52" t="s">
        <v>57</v>
      </c>
      <c r="N52" t="s">
        <v>65</v>
      </c>
      <c r="O52" s="2">
        <v>-1.3043478332974701E-6</v>
      </c>
      <c r="P52" s="2">
        <v>-1.3043478190866153E-6</v>
      </c>
      <c r="Q52" s="2">
        <v>-0.13440918607627972</v>
      </c>
      <c r="R52" s="2">
        <v>-9.5041647553443909E-2</v>
      </c>
      <c r="S52" s="2">
        <v>0.19008329510688782</v>
      </c>
      <c r="T52" s="5">
        <f t="shared" ref="T52:V52" si="100">IFERROR(MROUND(Q52,0.2),-MROUND(ABS(Q52),0.2))</f>
        <v>-0.2</v>
      </c>
      <c r="U52" s="5">
        <f t="shared" si="100"/>
        <v>0</v>
      </c>
      <c r="V52" s="5">
        <f t="shared" si="100"/>
        <v>0.2</v>
      </c>
      <c r="W52" s="2">
        <f t="shared" ref="W52:Y52" si="101">Q52^2</f>
        <v>1.8065829301687986E-2</v>
      </c>
      <c r="X52" s="2">
        <f t="shared" si="101"/>
        <v>9.0329147696730505E-3</v>
      </c>
      <c r="Y52" s="2">
        <f t="shared" si="101"/>
        <v>3.6131659078692202E-2</v>
      </c>
    </row>
    <row r="53" spans="1:25" x14ac:dyDescent="0.7">
      <c r="A53" t="s">
        <v>56</v>
      </c>
      <c r="B53" s="3">
        <v>0.6419907407407407</v>
      </c>
      <c r="C53" t="s">
        <v>57</v>
      </c>
      <c r="D53" s="2">
        <v>37.632961666666667</v>
      </c>
      <c r="E53" t="s">
        <v>58</v>
      </c>
      <c r="F53" s="2">
        <v>141.01283833333335</v>
      </c>
      <c r="G53" t="s">
        <v>59</v>
      </c>
      <c r="H53" s="4">
        <v>0</v>
      </c>
      <c r="I53" s="5">
        <v>91.3</v>
      </c>
      <c r="J53">
        <v>170220</v>
      </c>
      <c r="M53" t="s">
        <v>57</v>
      </c>
      <c r="N53" t="s">
        <v>65</v>
      </c>
      <c r="O53" s="2">
        <v>-2.9710145028616353E-6</v>
      </c>
      <c r="P53" s="2">
        <v>-1.3043478190866153E-6</v>
      </c>
      <c r="Q53" s="2">
        <v>-0.32923392455099521</v>
      </c>
      <c r="R53" s="2">
        <v>-9.5041647553443909E-2</v>
      </c>
      <c r="S53" s="2">
        <v>0.34267753328923733</v>
      </c>
      <c r="T53" s="5">
        <f t="shared" ref="T53:V53" si="102">IFERROR(MROUND(Q53,0.2),-MROUND(ABS(Q53),0.2))</f>
        <v>-0.4</v>
      </c>
      <c r="U53" s="5">
        <f t="shared" si="102"/>
        <v>0</v>
      </c>
      <c r="V53" s="5">
        <f t="shared" si="102"/>
        <v>0.4</v>
      </c>
      <c r="W53" s="2">
        <f t="shared" ref="W53:Y53" si="103">Q53^2</f>
        <v>0.10839497707525041</v>
      </c>
      <c r="X53" s="2">
        <f t="shared" si="103"/>
        <v>9.0329147696730505E-3</v>
      </c>
      <c r="Y53" s="2">
        <f t="shared" si="103"/>
        <v>0.11742789182119637</v>
      </c>
    </row>
    <row r="54" spans="1:25" x14ac:dyDescent="0.7">
      <c r="A54" t="s">
        <v>56</v>
      </c>
      <c r="B54" s="3">
        <v>0.64203703703703707</v>
      </c>
      <c r="C54" t="s">
        <v>57</v>
      </c>
      <c r="D54" s="2">
        <v>37.632961666666667</v>
      </c>
      <c r="E54" t="s">
        <v>58</v>
      </c>
      <c r="F54" s="2">
        <v>141.012845</v>
      </c>
      <c r="G54" t="s">
        <v>59</v>
      </c>
      <c r="H54" s="4">
        <v>0</v>
      </c>
      <c r="I54" s="5">
        <v>91.3</v>
      </c>
      <c r="J54">
        <v>170220</v>
      </c>
      <c r="M54" t="s">
        <v>57</v>
      </c>
      <c r="N54" t="s">
        <v>69</v>
      </c>
      <c r="O54" s="2">
        <v>-2.9710145028616353E-6</v>
      </c>
      <c r="P54" s="2">
        <v>5.362318830748336E-6</v>
      </c>
      <c r="Q54" s="2">
        <v>-0.32923392455099521</v>
      </c>
      <c r="R54" s="2">
        <v>0.46560708158824315</v>
      </c>
      <c r="S54" s="2">
        <v>0.57811577200345599</v>
      </c>
      <c r="T54" s="5">
        <f t="shared" ref="T54:V54" si="104">IFERROR(MROUND(Q54,0.2),-MROUND(ABS(Q54),0.2))</f>
        <v>-0.4</v>
      </c>
      <c r="U54" s="5">
        <f t="shared" si="104"/>
        <v>0.4</v>
      </c>
      <c r="V54" s="5">
        <f t="shared" si="104"/>
        <v>0.60000000000000009</v>
      </c>
      <c r="W54" s="2">
        <f t="shared" ref="W54:Y54" si="105">Q54^2</f>
        <v>0.10839497707525041</v>
      </c>
      <c r="X54" s="2">
        <f t="shared" si="105"/>
        <v>0.21678995442512092</v>
      </c>
      <c r="Y54" s="2">
        <f t="shared" si="105"/>
        <v>0.33421784583915193</v>
      </c>
    </row>
    <row r="55" spans="1:25" x14ac:dyDescent="0.7">
      <c r="A55" t="s">
        <v>56</v>
      </c>
      <c r="B55" s="3">
        <v>0.64204861111111111</v>
      </c>
      <c r="C55" t="s">
        <v>57</v>
      </c>
      <c r="D55" s="2">
        <v>37.632961666666667</v>
      </c>
      <c r="E55" t="s">
        <v>58</v>
      </c>
      <c r="F55" s="2">
        <v>141.012845</v>
      </c>
      <c r="G55" t="s">
        <v>59</v>
      </c>
      <c r="H55" s="4">
        <v>0</v>
      </c>
      <c r="I55" s="5">
        <v>91.3</v>
      </c>
      <c r="J55">
        <v>170220</v>
      </c>
      <c r="M55" t="s">
        <v>57</v>
      </c>
      <c r="N55" t="s">
        <v>70</v>
      </c>
      <c r="O55" s="2">
        <v>-2.9710145028616353E-6</v>
      </c>
      <c r="P55" s="2">
        <v>5.362318830748336E-6</v>
      </c>
      <c r="Q55" s="2">
        <v>-0.32923392455099521</v>
      </c>
      <c r="R55" s="2">
        <v>0.46560708158824315</v>
      </c>
      <c r="S55" s="2">
        <v>0.57811577200345599</v>
      </c>
      <c r="T55" s="5">
        <f t="shared" ref="T55:V55" si="106">IFERROR(MROUND(Q55,0.2),-MROUND(ABS(Q55),0.2))</f>
        <v>-0.4</v>
      </c>
      <c r="U55" s="5">
        <f t="shared" si="106"/>
        <v>0.4</v>
      </c>
      <c r="V55" s="5">
        <f t="shared" si="106"/>
        <v>0.60000000000000009</v>
      </c>
      <c r="W55" s="2">
        <f t="shared" ref="W55:Y55" si="107">Q55^2</f>
        <v>0.10839497707525041</v>
      </c>
      <c r="X55" s="2">
        <f t="shared" si="107"/>
        <v>0.21678995442512092</v>
      </c>
      <c r="Y55" s="2">
        <f t="shared" si="107"/>
        <v>0.33421784583915193</v>
      </c>
    </row>
    <row r="56" spans="1:25" x14ac:dyDescent="0.7">
      <c r="A56" t="s">
        <v>56</v>
      </c>
      <c r="B56" s="3">
        <v>0.64206018518518515</v>
      </c>
      <c r="C56" t="s">
        <v>57</v>
      </c>
      <c r="D56" s="2">
        <v>37.632961666666667</v>
      </c>
      <c r="E56" t="s">
        <v>58</v>
      </c>
      <c r="F56" s="2">
        <v>141.012845</v>
      </c>
      <c r="G56" t="s">
        <v>59</v>
      </c>
      <c r="H56" s="4">
        <v>0</v>
      </c>
      <c r="I56" s="5">
        <v>91.3</v>
      </c>
      <c r="J56">
        <v>170220</v>
      </c>
      <c r="M56" t="s">
        <v>57</v>
      </c>
      <c r="N56" t="s">
        <v>60</v>
      </c>
      <c r="O56" s="2">
        <v>-2.9710145028616353E-6</v>
      </c>
      <c r="P56" s="2">
        <v>5.362318830748336E-6</v>
      </c>
      <c r="Q56" s="2">
        <v>-0.32923392455099521</v>
      </c>
      <c r="R56" s="2">
        <v>0.46560708158824315</v>
      </c>
      <c r="S56" s="2">
        <v>0.57811577200345599</v>
      </c>
      <c r="T56" s="5">
        <f t="shared" ref="T56:V56" si="108">IFERROR(MROUND(Q56,0.2),-MROUND(ABS(Q56),0.2))</f>
        <v>-0.4</v>
      </c>
      <c r="U56" s="5">
        <f t="shared" si="108"/>
        <v>0.4</v>
      </c>
      <c r="V56" s="5">
        <f t="shared" si="108"/>
        <v>0.60000000000000009</v>
      </c>
      <c r="W56" s="2">
        <f t="shared" ref="W56:Y56" si="109">Q56^2</f>
        <v>0.10839497707525041</v>
      </c>
      <c r="X56" s="2">
        <f t="shared" si="109"/>
        <v>0.21678995442512092</v>
      </c>
      <c r="Y56" s="2">
        <f t="shared" si="109"/>
        <v>0.33421784583915193</v>
      </c>
    </row>
    <row r="57" spans="1:25" x14ac:dyDescent="0.7">
      <c r="A57" t="s">
        <v>56</v>
      </c>
      <c r="B57" s="3">
        <v>0.64207175925925919</v>
      </c>
      <c r="C57" t="s">
        <v>57</v>
      </c>
      <c r="D57" s="2">
        <v>37.632963333333336</v>
      </c>
      <c r="E57" t="s">
        <v>58</v>
      </c>
      <c r="F57" s="2">
        <v>141.01284166666667</v>
      </c>
      <c r="G57" t="s">
        <v>59</v>
      </c>
      <c r="H57" s="4">
        <v>0.37040000000000006</v>
      </c>
      <c r="I57" s="5">
        <v>91.3</v>
      </c>
      <c r="J57">
        <v>170220</v>
      </c>
      <c r="M57" t="s">
        <v>57</v>
      </c>
      <c r="N57" t="s">
        <v>64</v>
      </c>
      <c r="O57" s="2">
        <v>-1.3043478332974701E-6</v>
      </c>
      <c r="P57" s="2">
        <v>2.0289855058308603E-6</v>
      </c>
      <c r="Q57" s="2">
        <v>-0.13440918607627972</v>
      </c>
      <c r="R57" s="2">
        <v>0.1646169622754976</v>
      </c>
      <c r="S57" s="2">
        <v>0.23280354079412158</v>
      </c>
      <c r="T57" s="5">
        <f t="shared" ref="T57:V57" si="110">IFERROR(MROUND(Q57,0.2),-MROUND(ABS(Q57),0.2))</f>
        <v>-0.2</v>
      </c>
      <c r="U57" s="5">
        <f t="shared" si="110"/>
        <v>0.2</v>
      </c>
      <c r="V57" s="5">
        <f t="shared" si="110"/>
        <v>0.2</v>
      </c>
      <c r="W57" s="2">
        <f t="shared" ref="W57:Y57" si="111">Q57^2</f>
        <v>1.8065829301687986E-2</v>
      </c>
      <c r="X57" s="2">
        <f t="shared" si="111"/>
        <v>2.7098744268812602E-2</v>
      </c>
      <c r="Y57" s="2">
        <f t="shared" si="111"/>
        <v>5.4197488606280229E-2</v>
      </c>
    </row>
    <row r="58" spans="1:25" x14ac:dyDescent="0.7">
      <c r="A58" t="s">
        <v>56</v>
      </c>
      <c r="B58" s="3">
        <v>0.64208333333333334</v>
      </c>
      <c r="C58" t="s">
        <v>57</v>
      </c>
      <c r="D58" s="2">
        <v>37.632966666666668</v>
      </c>
      <c r="E58" t="s">
        <v>58</v>
      </c>
      <c r="F58" s="2">
        <v>141.01283999999998</v>
      </c>
      <c r="G58" t="s">
        <v>59</v>
      </c>
      <c r="H58" s="4">
        <v>0</v>
      </c>
      <c r="I58" s="5">
        <v>91.3</v>
      </c>
      <c r="J58">
        <v>170220</v>
      </c>
      <c r="M58" t="s">
        <v>57</v>
      </c>
      <c r="N58" t="s">
        <v>65</v>
      </c>
      <c r="O58" s="2">
        <v>2.028985498725433E-6</v>
      </c>
      <c r="P58" s="2">
        <v>3.6231881495041307E-7</v>
      </c>
      <c r="Q58" s="2">
        <v>0.23280354079412158</v>
      </c>
      <c r="R58" s="2">
        <v>0</v>
      </c>
      <c r="S58" s="2">
        <v>0.23280354079412158</v>
      </c>
      <c r="T58" s="5">
        <f t="shared" ref="T58:V58" si="112">IFERROR(MROUND(Q58,0.2),-MROUND(ABS(Q58),0.2))</f>
        <v>0.2</v>
      </c>
      <c r="U58" s="5">
        <f t="shared" si="112"/>
        <v>0</v>
      </c>
      <c r="V58" s="5">
        <f t="shared" si="112"/>
        <v>0.2</v>
      </c>
      <c r="W58" s="2">
        <f t="shared" ref="W58:Y58" si="113">Q58^2</f>
        <v>5.4197488606280229E-2</v>
      </c>
      <c r="X58" s="2">
        <f t="shared" si="113"/>
        <v>0</v>
      </c>
      <c r="Y58" s="2">
        <f t="shared" si="113"/>
        <v>5.4197488606280229E-2</v>
      </c>
    </row>
    <row r="59" spans="1:25" x14ac:dyDescent="0.7">
      <c r="A59" t="s">
        <v>56</v>
      </c>
      <c r="B59" s="3">
        <v>0.64209490740740738</v>
      </c>
      <c r="C59" t="s">
        <v>57</v>
      </c>
      <c r="D59" s="2">
        <v>37.632966666666668</v>
      </c>
      <c r="E59" t="s">
        <v>58</v>
      </c>
      <c r="F59" s="2">
        <v>141.01283833333335</v>
      </c>
      <c r="G59" t="s">
        <v>59</v>
      </c>
      <c r="H59" s="4">
        <v>0</v>
      </c>
      <c r="I59" s="5">
        <v>91.3</v>
      </c>
      <c r="J59">
        <v>170220</v>
      </c>
      <c r="M59" t="s">
        <v>57</v>
      </c>
      <c r="N59" t="s">
        <v>61</v>
      </c>
      <c r="O59" s="2">
        <v>2.028985498725433E-6</v>
      </c>
      <c r="P59" s="2">
        <v>-1.3043478190866153E-6</v>
      </c>
      <c r="Q59" s="2">
        <v>0.23280354079412158</v>
      </c>
      <c r="R59" s="2">
        <v>-9.5041647553443909E-2</v>
      </c>
      <c r="S59" s="2">
        <v>0.25145656374481296</v>
      </c>
      <c r="T59" s="5">
        <f t="shared" ref="T59:V59" si="114">IFERROR(MROUND(Q59,0.2),-MROUND(ABS(Q59),0.2))</f>
        <v>0.2</v>
      </c>
      <c r="U59" s="5">
        <f t="shared" si="114"/>
        <v>0</v>
      </c>
      <c r="V59" s="5">
        <f t="shared" si="114"/>
        <v>0.2</v>
      </c>
      <c r="W59" s="2">
        <f t="shared" ref="W59:Y59" si="115">Q59^2</f>
        <v>5.4197488606280229E-2</v>
      </c>
      <c r="X59" s="2">
        <f t="shared" si="115"/>
        <v>9.0329147696730505E-3</v>
      </c>
      <c r="Y59" s="2">
        <f t="shared" si="115"/>
        <v>6.3230403450349179E-2</v>
      </c>
    </row>
    <row r="60" spans="1:25" x14ac:dyDescent="0.7">
      <c r="A60" t="s">
        <v>56</v>
      </c>
      <c r="B60" s="3">
        <v>0.64210648148148153</v>
      </c>
      <c r="C60" t="s">
        <v>57</v>
      </c>
      <c r="D60" s="2">
        <v>37.632966666666668</v>
      </c>
      <c r="E60" t="s">
        <v>58</v>
      </c>
      <c r="F60" s="2">
        <v>141.01283666666669</v>
      </c>
      <c r="G60" t="s">
        <v>59</v>
      </c>
      <c r="H60" s="4">
        <v>0</v>
      </c>
      <c r="I60" s="5">
        <v>91.3</v>
      </c>
      <c r="J60">
        <v>170220</v>
      </c>
      <c r="M60" t="s">
        <v>57</v>
      </c>
      <c r="N60" t="s">
        <v>62</v>
      </c>
      <c r="O60" s="2">
        <v>2.028985498725433E-6</v>
      </c>
      <c r="P60" s="2">
        <v>-2.9710144815453532E-6</v>
      </c>
      <c r="Q60" s="2">
        <v>0.23280354079412158</v>
      </c>
      <c r="R60" s="2">
        <v>-0.25145656374481296</v>
      </c>
      <c r="S60" s="2">
        <v>0.34267753328923733</v>
      </c>
      <c r="T60" s="5">
        <f t="shared" ref="T60:V60" si="116">IFERROR(MROUND(Q60,0.2),-MROUND(ABS(Q60),0.2))</f>
        <v>0.2</v>
      </c>
      <c r="U60" s="5">
        <f t="shared" si="116"/>
        <v>-0.2</v>
      </c>
      <c r="V60" s="5">
        <f t="shared" si="116"/>
        <v>0.4</v>
      </c>
      <c r="W60" s="2">
        <f t="shared" ref="W60:Y60" si="117">Q60^2</f>
        <v>5.4197488606280229E-2</v>
      </c>
      <c r="X60" s="2">
        <f t="shared" si="117"/>
        <v>6.3230403450349179E-2</v>
      </c>
      <c r="Y60" s="2">
        <f t="shared" si="117"/>
        <v>0.11742789182119637</v>
      </c>
    </row>
    <row r="61" spans="1:25" x14ac:dyDescent="0.7">
      <c r="A61" t="s">
        <v>56</v>
      </c>
      <c r="B61" s="3">
        <v>0.64214120370370364</v>
      </c>
      <c r="C61" t="s">
        <v>57</v>
      </c>
      <c r="D61" s="2">
        <v>37.632964999999999</v>
      </c>
      <c r="E61" t="s">
        <v>58</v>
      </c>
      <c r="F61" s="2">
        <v>141.01284166666667</v>
      </c>
      <c r="G61" t="s">
        <v>59</v>
      </c>
      <c r="H61" s="4">
        <v>0</v>
      </c>
      <c r="I61" s="5">
        <v>91.3</v>
      </c>
      <c r="J61">
        <v>170220</v>
      </c>
      <c r="M61" t="s">
        <v>57</v>
      </c>
      <c r="N61" t="s">
        <v>64</v>
      </c>
      <c r="O61" s="2">
        <v>3.6231882916126779E-7</v>
      </c>
      <c r="P61" s="2">
        <v>2.0289855058308603E-6</v>
      </c>
      <c r="Q61" s="2">
        <v>0</v>
      </c>
      <c r="R61" s="2">
        <v>0.1646169622754976</v>
      </c>
      <c r="S61" s="2">
        <v>0.1646169622754976</v>
      </c>
      <c r="T61" s="5">
        <f t="shared" ref="T61:V61" si="118">IFERROR(MROUND(Q61,0.2),-MROUND(ABS(Q61),0.2))</f>
        <v>0</v>
      </c>
      <c r="U61" s="5">
        <f t="shared" si="118"/>
        <v>0.2</v>
      </c>
      <c r="V61" s="5">
        <f t="shared" si="118"/>
        <v>0.2</v>
      </c>
      <c r="W61" s="2">
        <f t="shared" ref="W61:Y61" si="119">Q61^2</f>
        <v>0</v>
      </c>
      <c r="X61" s="2">
        <f t="shared" si="119"/>
        <v>2.7098744268812602E-2</v>
      </c>
      <c r="Y61" s="2">
        <f t="shared" si="119"/>
        <v>2.7098744268812602E-2</v>
      </c>
    </row>
    <row r="62" spans="1:25" x14ac:dyDescent="0.7">
      <c r="A62" t="s">
        <v>56</v>
      </c>
      <c r="B62" s="3">
        <v>0.64215277777777779</v>
      </c>
      <c r="C62" t="s">
        <v>57</v>
      </c>
      <c r="D62" s="2">
        <v>37.632963333333336</v>
      </c>
      <c r="E62" t="s">
        <v>58</v>
      </c>
      <c r="F62" s="2">
        <v>141.01284333333334</v>
      </c>
      <c r="G62" t="s">
        <v>59</v>
      </c>
      <c r="H62" s="4">
        <v>0</v>
      </c>
      <c r="I62" s="5">
        <v>91.3</v>
      </c>
      <c r="J62">
        <v>170220</v>
      </c>
      <c r="M62" t="s">
        <v>57</v>
      </c>
      <c r="N62" t="s">
        <v>61</v>
      </c>
      <c r="O62" s="2">
        <v>-1.3043478332974701E-6</v>
      </c>
      <c r="P62" s="2">
        <v>3.6956521682895982E-6</v>
      </c>
      <c r="Q62" s="2">
        <v>-0.13440918607627972</v>
      </c>
      <c r="R62" s="2">
        <v>0.32923392455099521</v>
      </c>
      <c r="S62" s="2">
        <v>0.35561328162303774</v>
      </c>
      <c r="T62" s="5">
        <f t="shared" ref="T62:V62" si="120">IFERROR(MROUND(Q62,0.2),-MROUND(ABS(Q62),0.2))</f>
        <v>-0.2</v>
      </c>
      <c r="U62" s="5">
        <f t="shared" si="120"/>
        <v>0.4</v>
      </c>
      <c r="V62" s="5">
        <f t="shared" si="120"/>
        <v>0.4</v>
      </c>
      <c r="W62" s="2">
        <f t="shared" ref="W62:Y62" si="121">Q62^2</f>
        <v>1.8065829301687986E-2</v>
      </c>
      <c r="X62" s="2">
        <f t="shared" si="121"/>
        <v>0.10839497707525041</v>
      </c>
      <c r="Y62" s="2">
        <f t="shared" si="121"/>
        <v>0.12646080606670596</v>
      </c>
    </row>
    <row r="63" spans="1:25" x14ac:dyDescent="0.7">
      <c r="A63" t="s">
        <v>56</v>
      </c>
      <c r="B63" s="3">
        <v>0.64216435185185183</v>
      </c>
      <c r="C63" t="s">
        <v>57</v>
      </c>
      <c r="D63" s="2">
        <v>37.632963333333336</v>
      </c>
      <c r="E63" t="s">
        <v>58</v>
      </c>
      <c r="F63" s="2">
        <v>141.01284166666667</v>
      </c>
      <c r="G63" t="s">
        <v>59</v>
      </c>
      <c r="H63" s="4">
        <v>0</v>
      </c>
      <c r="I63" s="5">
        <v>91.3</v>
      </c>
      <c r="J63">
        <v>170220</v>
      </c>
      <c r="M63" t="s">
        <v>57</v>
      </c>
      <c r="N63" t="s">
        <v>63</v>
      </c>
      <c r="O63" s="2">
        <v>-1.3043478332974701E-6</v>
      </c>
      <c r="P63" s="2">
        <v>2.0289855058308603E-6</v>
      </c>
      <c r="Q63" s="2">
        <v>-0.13440918607627972</v>
      </c>
      <c r="R63" s="2">
        <v>0.1646169622754976</v>
      </c>
      <c r="S63" s="2">
        <v>0.23280354079412158</v>
      </c>
      <c r="T63" s="5">
        <f t="shared" ref="T63:V63" si="122">IFERROR(MROUND(Q63,0.2),-MROUND(ABS(Q63),0.2))</f>
        <v>-0.2</v>
      </c>
      <c r="U63" s="5">
        <f t="shared" si="122"/>
        <v>0.2</v>
      </c>
      <c r="V63" s="5">
        <f t="shared" si="122"/>
        <v>0.2</v>
      </c>
      <c r="W63" s="2">
        <f t="shared" ref="W63:Y63" si="123">Q63^2</f>
        <v>1.8065829301687986E-2</v>
      </c>
      <c r="X63" s="2">
        <f t="shared" si="123"/>
        <v>2.7098744268812602E-2</v>
      </c>
      <c r="Y63" s="2">
        <f t="shared" si="123"/>
        <v>5.4197488606280229E-2</v>
      </c>
    </row>
    <row r="64" spans="1:25" x14ac:dyDescent="0.7">
      <c r="A64" t="s">
        <v>56</v>
      </c>
      <c r="B64" s="3">
        <v>0.64217592592592598</v>
      </c>
      <c r="C64" t="s">
        <v>57</v>
      </c>
      <c r="D64" s="2">
        <v>37.632966666666668</v>
      </c>
      <c r="E64" t="s">
        <v>58</v>
      </c>
      <c r="F64" s="2">
        <v>141.01284166666667</v>
      </c>
      <c r="G64" t="s">
        <v>59</v>
      </c>
      <c r="H64" s="4">
        <v>0.37040000000000006</v>
      </c>
      <c r="I64" s="5">
        <v>91.3</v>
      </c>
      <c r="J64">
        <v>170220</v>
      </c>
      <c r="M64" t="s">
        <v>57</v>
      </c>
      <c r="N64" t="s">
        <v>61</v>
      </c>
      <c r="O64" s="2">
        <v>2.028985498725433E-6</v>
      </c>
      <c r="P64" s="2">
        <v>2.0289855058308603E-6</v>
      </c>
      <c r="Q64" s="2">
        <v>0.23280354079412158</v>
      </c>
      <c r="R64" s="2">
        <v>0.1646169622754976</v>
      </c>
      <c r="S64" s="2">
        <v>0.28512494266033173</v>
      </c>
      <c r="T64" s="5">
        <f t="shared" ref="T64:V64" si="124">IFERROR(MROUND(Q64,0.2),-MROUND(ABS(Q64),0.2))</f>
        <v>0.2</v>
      </c>
      <c r="U64" s="5">
        <f t="shared" si="124"/>
        <v>0.2</v>
      </c>
      <c r="V64" s="5">
        <f t="shared" si="124"/>
        <v>0.2</v>
      </c>
      <c r="W64" s="2">
        <f t="shared" ref="W64:Y64" si="125">Q64^2</f>
        <v>5.4197488606280229E-2</v>
      </c>
      <c r="X64" s="2">
        <f t="shared" si="125"/>
        <v>2.7098744268812602E-2</v>
      </c>
      <c r="Y64" s="2">
        <f t="shared" si="125"/>
        <v>8.1296232927057455E-2</v>
      </c>
    </row>
    <row r="65" spans="1:25" x14ac:dyDescent="0.7">
      <c r="A65" t="s">
        <v>56</v>
      </c>
      <c r="B65" s="3">
        <v>0.64218750000000002</v>
      </c>
      <c r="C65" t="s">
        <v>57</v>
      </c>
      <c r="D65" s="2">
        <v>37.632968333333331</v>
      </c>
      <c r="E65" t="s">
        <v>58</v>
      </c>
      <c r="F65" s="2">
        <v>141.01283999999998</v>
      </c>
      <c r="G65" t="s">
        <v>59</v>
      </c>
      <c r="H65" s="4">
        <v>0</v>
      </c>
      <c r="I65" s="5">
        <v>91.3</v>
      </c>
      <c r="J65">
        <v>170220</v>
      </c>
      <c r="M65" t="s">
        <v>57</v>
      </c>
      <c r="N65" t="s">
        <v>88</v>
      </c>
      <c r="O65" s="2">
        <v>3.6956521611841708E-6</v>
      </c>
      <c r="P65" s="2">
        <v>3.6231881495041307E-7</v>
      </c>
      <c r="Q65" s="2">
        <v>0.41427693655817155</v>
      </c>
      <c r="R65" s="2">
        <v>0</v>
      </c>
      <c r="S65" s="2">
        <v>0.41427693655817155</v>
      </c>
      <c r="T65" s="5">
        <f t="shared" ref="T65:V65" si="126">IFERROR(MROUND(Q65,0.2),-MROUND(ABS(Q65),0.2))</f>
        <v>0.4</v>
      </c>
      <c r="U65" s="5">
        <f t="shared" si="126"/>
        <v>0</v>
      </c>
      <c r="V65" s="5">
        <f t="shared" si="126"/>
        <v>0.4</v>
      </c>
      <c r="W65" s="2">
        <f t="shared" ref="W65:Y65" si="127">Q65^2</f>
        <v>0.17162538016402329</v>
      </c>
      <c r="X65" s="2">
        <f t="shared" si="127"/>
        <v>0</v>
      </c>
      <c r="Y65" s="2">
        <f t="shared" si="127"/>
        <v>0.17162538016402329</v>
      </c>
    </row>
    <row r="66" spans="1:25" x14ac:dyDescent="0.7">
      <c r="A66" t="s">
        <v>56</v>
      </c>
      <c r="B66" s="3">
        <v>0.64219907407407406</v>
      </c>
      <c r="C66" t="s">
        <v>57</v>
      </c>
      <c r="D66" s="2">
        <v>37.632966666666668</v>
      </c>
      <c r="E66" t="s">
        <v>58</v>
      </c>
      <c r="F66" s="2">
        <v>141.01283999999998</v>
      </c>
      <c r="G66" t="s">
        <v>59</v>
      </c>
      <c r="H66" s="4">
        <v>0</v>
      </c>
      <c r="I66" s="5">
        <v>91.3</v>
      </c>
      <c r="J66">
        <v>170220</v>
      </c>
      <c r="M66" t="s">
        <v>57</v>
      </c>
      <c r="N66" t="s">
        <v>64</v>
      </c>
      <c r="O66" s="2">
        <v>2.028985498725433E-6</v>
      </c>
      <c r="P66" s="2">
        <v>3.6231881495041307E-7</v>
      </c>
      <c r="Q66" s="2">
        <v>0.23280354079412158</v>
      </c>
      <c r="R66" s="2">
        <v>0</v>
      </c>
      <c r="S66" s="2">
        <v>0.23280354079412158</v>
      </c>
      <c r="T66" s="5">
        <f t="shared" ref="T66:V66" si="128">IFERROR(MROUND(Q66,0.2),-MROUND(ABS(Q66),0.2))</f>
        <v>0.2</v>
      </c>
      <c r="U66" s="5">
        <f t="shared" si="128"/>
        <v>0</v>
      </c>
      <c r="V66" s="5">
        <f t="shared" si="128"/>
        <v>0.2</v>
      </c>
      <c r="W66" s="2">
        <f t="shared" ref="W66:Y66" si="129">Q66^2</f>
        <v>5.4197488606280229E-2</v>
      </c>
      <c r="X66" s="2">
        <f t="shared" si="129"/>
        <v>0</v>
      </c>
      <c r="Y66" s="2">
        <f t="shared" si="129"/>
        <v>5.4197488606280229E-2</v>
      </c>
    </row>
    <row r="67" spans="1:25" x14ac:dyDescent="0.7">
      <c r="A67" t="s">
        <v>56</v>
      </c>
      <c r="B67" s="3">
        <v>0.6422106481481481</v>
      </c>
      <c r="C67" t="s">
        <v>57</v>
      </c>
      <c r="D67" s="2">
        <v>37.632966666666668</v>
      </c>
      <c r="E67" t="s">
        <v>58</v>
      </c>
      <c r="F67" s="2">
        <v>141.01284166666667</v>
      </c>
      <c r="G67" t="s">
        <v>59</v>
      </c>
      <c r="H67" s="4">
        <v>0</v>
      </c>
      <c r="I67" s="5">
        <v>91.3</v>
      </c>
      <c r="J67">
        <v>170220</v>
      </c>
      <c r="M67" t="s">
        <v>57</v>
      </c>
      <c r="N67" t="s">
        <v>64</v>
      </c>
      <c r="O67" s="2">
        <v>2.028985498725433E-6</v>
      </c>
      <c r="P67" s="2">
        <v>2.0289855058308603E-6</v>
      </c>
      <c r="Q67" s="2">
        <v>0.23280354079412158</v>
      </c>
      <c r="R67" s="2">
        <v>0.1646169622754976</v>
      </c>
      <c r="S67" s="2">
        <v>0.28512494266033173</v>
      </c>
      <c r="T67" s="5">
        <f t="shared" ref="T67:V67" si="130">IFERROR(MROUND(Q67,0.2),-MROUND(ABS(Q67),0.2))</f>
        <v>0.2</v>
      </c>
      <c r="U67" s="5">
        <f t="shared" si="130"/>
        <v>0.2</v>
      </c>
      <c r="V67" s="5">
        <f t="shared" si="130"/>
        <v>0.2</v>
      </c>
      <c r="W67" s="2">
        <f t="shared" ref="W67:Y67" si="131">Q67^2</f>
        <v>5.4197488606280229E-2</v>
      </c>
      <c r="X67" s="2">
        <f t="shared" si="131"/>
        <v>2.7098744268812602E-2</v>
      </c>
      <c r="Y67" s="2">
        <f t="shared" si="131"/>
        <v>8.1296232927057455E-2</v>
      </c>
    </row>
    <row r="68" spans="1:25" x14ac:dyDescent="0.7">
      <c r="A68" t="s">
        <v>56</v>
      </c>
      <c r="B68" s="3">
        <v>0.64222222222222225</v>
      </c>
      <c r="C68" t="s">
        <v>57</v>
      </c>
      <c r="D68" s="2">
        <v>37.632966666666668</v>
      </c>
      <c r="E68" t="s">
        <v>58</v>
      </c>
      <c r="F68" s="2">
        <v>141.01284166666667</v>
      </c>
      <c r="G68" t="s">
        <v>59</v>
      </c>
      <c r="H68" s="4">
        <v>0</v>
      </c>
      <c r="I68" s="5">
        <v>91.3</v>
      </c>
      <c r="J68">
        <v>170220</v>
      </c>
      <c r="M68" t="s">
        <v>57</v>
      </c>
      <c r="N68" t="s">
        <v>62</v>
      </c>
      <c r="O68" s="2">
        <v>2.028985498725433E-6</v>
      </c>
      <c r="P68" s="2">
        <v>2.0289855058308603E-6</v>
      </c>
      <c r="Q68" s="2">
        <v>0.23280354079412158</v>
      </c>
      <c r="R68" s="2">
        <v>0.1646169622754976</v>
      </c>
      <c r="S68" s="2">
        <v>0.28512494266033173</v>
      </c>
      <c r="T68" s="5">
        <f t="shared" ref="T68:V68" si="132">IFERROR(MROUND(Q68,0.2),-MROUND(ABS(Q68),0.2))</f>
        <v>0.2</v>
      </c>
      <c r="U68" s="5">
        <f t="shared" si="132"/>
        <v>0.2</v>
      </c>
      <c r="V68" s="5">
        <f t="shared" si="132"/>
        <v>0.2</v>
      </c>
      <c r="W68" s="2">
        <f t="shared" ref="W68:Y68" si="133">Q68^2</f>
        <v>5.4197488606280229E-2</v>
      </c>
      <c r="X68" s="2">
        <f t="shared" si="133"/>
        <v>2.7098744268812602E-2</v>
      </c>
      <c r="Y68" s="2">
        <f t="shared" si="133"/>
        <v>8.1296232927057455E-2</v>
      </c>
    </row>
    <row r="69" spans="1:25" x14ac:dyDescent="0.7">
      <c r="A69" t="s">
        <v>56</v>
      </c>
      <c r="B69" s="3">
        <v>0.64223379629629629</v>
      </c>
      <c r="C69" t="s">
        <v>57</v>
      </c>
      <c r="D69" s="2">
        <v>37.632964999999999</v>
      </c>
      <c r="E69" t="s">
        <v>58</v>
      </c>
      <c r="F69" s="2">
        <v>141.01284166666667</v>
      </c>
      <c r="G69" t="s">
        <v>59</v>
      </c>
      <c r="H69" s="4">
        <v>0</v>
      </c>
      <c r="I69" s="5">
        <v>91.3</v>
      </c>
      <c r="J69">
        <v>170220</v>
      </c>
      <c r="M69" t="s">
        <v>57</v>
      </c>
      <c r="N69" t="s">
        <v>69</v>
      </c>
      <c r="O69" s="2">
        <v>3.6231882916126779E-7</v>
      </c>
      <c r="P69" s="2">
        <v>2.0289855058308603E-6</v>
      </c>
      <c r="Q69" s="2">
        <v>0</v>
      </c>
      <c r="R69" s="2">
        <v>0.1646169622754976</v>
      </c>
      <c r="S69" s="2">
        <v>0.1646169622754976</v>
      </c>
      <c r="T69" s="5">
        <f t="shared" ref="T69:V69" si="134">IFERROR(MROUND(Q69,0.2),-MROUND(ABS(Q69),0.2))</f>
        <v>0</v>
      </c>
      <c r="U69" s="5">
        <f t="shared" si="134"/>
        <v>0.2</v>
      </c>
      <c r="V69" s="5">
        <f t="shared" si="134"/>
        <v>0.2</v>
      </c>
      <c r="W69" s="2">
        <f t="shared" ref="W69:Y69" si="135">Q69^2</f>
        <v>0</v>
      </c>
      <c r="X69" s="2">
        <f t="shared" si="135"/>
        <v>2.7098744268812602E-2</v>
      </c>
      <c r="Y69" s="2">
        <f t="shared" si="135"/>
        <v>2.7098744268812602E-2</v>
      </c>
    </row>
    <row r="70" spans="1:25" x14ac:dyDescent="0.7">
      <c r="A70" t="s">
        <v>56</v>
      </c>
      <c r="B70" s="3">
        <v>0.64282407407407405</v>
      </c>
      <c r="C70" t="s">
        <v>57</v>
      </c>
      <c r="D70" s="2">
        <v>37.63297166666667</v>
      </c>
      <c r="E70" t="s">
        <v>58</v>
      </c>
      <c r="F70" s="2">
        <v>141.01287666666667</v>
      </c>
      <c r="G70" t="s">
        <v>59</v>
      </c>
      <c r="H70" s="4">
        <v>0.37040000000000006</v>
      </c>
      <c r="I70" s="5">
        <v>90.6</v>
      </c>
      <c r="J70">
        <v>170220</v>
      </c>
      <c r="M70" t="s">
        <v>57</v>
      </c>
      <c r="N70" t="s">
        <v>88</v>
      </c>
      <c r="O70" s="2">
        <v>-2.7380952261069069E-6</v>
      </c>
      <c r="P70" s="2">
        <v>4.6428571636170091E-6</v>
      </c>
      <c r="Q70" s="2">
        <v>-0.30054807823986107</v>
      </c>
      <c r="R70" s="2">
        <v>0.40322756106130098</v>
      </c>
      <c r="S70" s="2">
        <v>0.51181493468277584</v>
      </c>
      <c r="T70" s="5">
        <f t="shared" ref="T70:V70" si="136">IFERROR(MROUND(Q70,0.2),-MROUND(ABS(Q70),0.2))</f>
        <v>-0.4</v>
      </c>
      <c r="U70" s="5">
        <f t="shared" si="136"/>
        <v>0.4</v>
      </c>
      <c r="V70" s="5">
        <f t="shared" si="136"/>
        <v>0.60000000000000009</v>
      </c>
      <c r="W70" s="2">
        <f t="shared" ref="W70:Y70" si="137">Q70^2</f>
        <v>9.0329147333673657E-2</v>
      </c>
      <c r="X70" s="2">
        <f t="shared" si="137"/>
        <v>0.16259246599944521</v>
      </c>
      <c r="Y70" s="2">
        <f t="shared" si="137"/>
        <v>0.26195452736433411</v>
      </c>
    </row>
    <row r="71" spans="1:25" x14ac:dyDescent="0.7">
      <c r="A71" t="s">
        <v>56</v>
      </c>
      <c r="B71" s="3">
        <v>0.6428356481481482</v>
      </c>
      <c r="C71" t="s">
        <v>57</v>
      </c>
      <c r="D71" s="2">
        <v>37.63297</v>
      </c>
      <c r="E71" t="s">
        <v>58</v>
      </c>
      <c r="F71" s="2">
        <v>141.01287666666667</v>
      </c>
      <c r="G71" t="s">
        <v>59</v>
      </c>
      <c r="H71" s="4">
        <v>0</v>
      </c>
      <c r="I71" s="5">
        <v>90.6</v>
      </c>
      <c r="J71">
        <v>170220</v>
      </c>
      <c r="M71" t="s">
        <v>57</v>
      </c>
      <c r="N71" t="s">
        <v>64</v>
      </c>
      <c r="O71" s="2">
        <v>-4.4047618956710721E-6</v>
      </c>
      <c r="P71" s="2">
        <v>4.6428571636170091E-6</v>
      </c>
      <c r="Q71" s="2">
        <v>-0.49385088682649281</v>
      </c>
      <c r="R71" s="2">
        <v>0.40322756106130098</v>
      </c>
      <c r="S71" s="2">
        <v>0.63755875331638401</v>
      </c>
      <c r="T71" s="5">
        <f t="shared" ref="T71:V71" si="138">IFERROR(MROUND(Q71,0.2),-MROUND(ABS(Q71),0.2))</f>
        <v>-0.4</v>
      </c>
      <c r="U71" s="5">
        <f t="shared" si="138"/>
        <v>0.4</v>
      </c>
      <c r="V71" s="5">
        <f t="shared" si="138"/>
        <v>0.60000000000000009</v>
      </c>
      <c r="W71" s="2">
        <f t="shared" ref="W71:Y71" si="139">Q71^2</f>
        <v>0.2438886984193134</v>
      </c>
      <c r="X71" s="2">
        <f t="shared" si="139"/>
        <v>0.16259246599944521</v>
      </c>
      <c r="Y71" s="2">
        <f t="shared" si="139"/>
        <v>0.40648116393034178</v>
      </c>
    </row>
    <row r="72" spans="1:25" x14ac:dyDescent="0.7">
      <c r="A72" t="s">
        <v>56</v>
      </c>
      <c r="B72" s="3">
        <v>0.64284722222222224</v>
      </c>
      <c r="C72" t="s">
        <v>57</v>
      </c>
      <c r="D72" s="2">
        <v>37.63297</v>
      </c>
      <c r="E72" t="s">
        <v>58</v>
      </c>
      <c r="F72" s="2">
        <v>141.01287666666667</v>
      </c>
      <c r="G72" t="s">
        <v>59</v>
      </c>
      <c r="H72" s="4">
        <v>0</v>
      </c>
      <c r="I72" s="5">
        <v>90.6</v>
      </c>
      <c r="J72">
        <v>170220</v>
      </c>
      <c r="M72" t="s">
        <v>57</v>
      </c>
      <c r="N72" t="s">
        <v>63</v>
      </c>
      <c r="O72" s="2">
        <v>-4.4047618956710721E-6</v>
      </c>
      <c r="P72" s="2">
        <v>4.6428571636170091E-6</v>
      </c>
      <c r="Q72" s="2">
        <v>-0.49385088682649281</v>
      </c>
      <c r="R72" s="2">
        <v>0.40322756106130098</v>
      </c>
      <c r="S72" s="2">
        <v>0.63755875331638401</v>
      </c>
      <c r="T72" s="5">
        <f t="shared" ref="T72:V72" si="140">IFERROR(MROUND(Q72,0.2),-MROUND(ABS(Q72),0.2))</f>
        <v>-0.4</v>
      </c>
      <c r="U72" s="5">
        <f t="shared" si="140"/>
        <v>0.4</v>
      </c>
      <c r="V72" s="5">
        <f t="shared" si="140"/>
        <v>0.60000000000000009</v>
      </c>
      <c r="W72" s="2">
        <f t="shared" ref="W72:Y72" si="141">Q72^2</f>
        <v>0.2438886984193134</v>
      </c>
      <c r="X72" s="2">
        <f t="shared" si="141"/>
        <v>0.16259246599944521</v>
      </c>
      <c r="Y72" s="2">
        <f t="shared" si="141"/>
        <v>0.40648116393034178</v>
      </c>
    </row>
    <row r="73" spans="1:25" x14ac:dyDescent="0.7">
      <c r="A73" t="s">
        <v>56</v>
      </c>
      <c r="B73" s="3">
        <v>0.64285879629629628</v>
      </c>
      <c r="C73" t="s">
        <v>57</v>
      </c>
      <c r="D73" s="2">
        <v>37.63297</v>
      </c>
      <c r="E73" t="s">
        <v>58</v>
      </c>
      <c r="F73" s="2">
        <v>141.01287499999998</v>
      </c>
      <c r="G73" t="s">
        <v>59</v>
      </c>
      <c r="H73" s="4">
        <v>0</v>
      </c>
      <c r="I73" s="5">
        <v>90.6</v>
      </c>
      <c r="J73">
        <v>170220</v>
      </c>
      <c r="M73" t="s">
        <v>57</v>
      </c>
      <c r="N73" t="s">
        <v>61</v>
      </c>
      <c r="O73" s="2">
        <v>-4.4047618956710721E-6</v>
      </c>
      <c r="P73" s="2">
        <v>2.9761904727365618E-6</v>
      </c>
      <c r="Q73" s="2">
        <v>-0.49385088682649281</v>
      </c>
      <c r="R73" s="2">
        <v>0.25145656374481296</v>
      </c>
      <c r="S73" s="2">
        <v>0.55418327389718169</v>
      </c>
      <c r="T73" s="5">
        <f t="shared" ref="T73:V73" si="142">IFERROR(MROUND(Q73,0.2),-MROUND(ABS(Q73),0.2))</f>
        <v>-0.4</v>
      </c>
      <c r="U73" s="5">
        <f t="shared" si="142"/>
        <v>0.2</v>
      </c>
      <c r="V73" s="5">
        <f t="shared" si="142"/>
        <v>0.60000000000000009</v>
      </c>
      <c r="W73" s="2">
        <f t="shared" ref="W73:Y73" si="143">Q73^2</f>
        <v>0.2438886984193134</v>
      </c>
      <c r="X73" s="2">
        <f t="shared" si="143"/>
        <v>6.3230403450349179E-2</v>
      </c>
      <c r="Y73" s="2">
        <f t="shared" si="143"/>
        <v>0.3071191010673987</v>
      </c>
    </row>
    <row r="74" spans="1:25" x14ac:dyDescent="0.7">
      <c r="A74" t="s">
        <v>56</v>
      </c>
      <c r="B74" s="3">
        <v>0.64287037037037031</v>
      </c>
      <c r="C74" t="s">
        <v>57</v>
      </c>
      <c r="D74" s="2">
        <v>37.63297166666667</v>
      </c>
      <c r="E74" t="s">
        <v>58</v>
      </c>
      <c r="F74" s="2">
        <v>141.01287333333332</v>
      </c>
      <c r="G74" t="s">
        <v>59</v>
      </c>
      <c r="H74" s="4">
        <v>0.37040000000000006</v>
      </c>
      <c r="I74" s="5">
        <v>90.6</v>
      </c>
      <c r="J74">
        <v>170220</v>
      </c>
      <c r="M74" t="s">
        <v>57</v>
      </c>
      <c r="N74" t="s">
        <v>68</v>
      </c>
      <c r="O74" s="2">
        <v>-2.7380952261069069E-6</v>
      </c>
      <c r="P74" s="2">
        <v>1.3095238102778239E-6</v>
      </c>
      <c r="Q74" s="2">
        <v>-0.30054807823986107</v>
      </c>
      <c r="R74" s="2">
        <v>9.5041647553443909E-2</v>
      </c>
      <c r="S74" s="2">
        <v>0.31521748439906938</v>
      </c>
      <c r="T74" s="5">
        <f t="shared" ref="T74:V74" si="144">IFERROR(MROUND(Q74,0.2),-MROUND(ABS(Q74),0.2))</f>
        <v>-0.4</v>
      </c>
      <c r="U74" s="5">
        <f t="shared" si="144"/>
        <v>0</v>
      </c>
      <c r="V74" s="5">
        <f t="shared" si="144"/>
        <v>0.4</v>
      </c>
      <c r="W74" s="2">
        <f t="shared" ref="W74:Y74" si="145">Q74^2</f>
        <v>9.0329147333673657E-2</v>
      </c>
      <c r="X74" s="2">
        <f t="shared" si="145"/>
        <v>9.0329147696730505E-3</v>
      </c>
      <c r="Y74" s="2">
        <f t="shared" si="145"/>
        <v>9.9362062470877546E-2</v>
      </c>
    </row>
    <row r="75" spans="1:25" x14ac:dyDescent="0.7">
      <c r="A75" t="s">
        <v>56</v>
      </c>
      <c r="B75" s="3">
        <v>0.64288194444444446</v>
      </c>
      <c r="C75" t="s">
        <v>57</v>
      </c>
      <c r="D75" s="2">
        <v>37.63297</v>
      </c>
      <c r="E75" t="s">
        <v>58</v>
      </c>
      <c r="F75" s="2">
        <v>141.01287166666668</v>
      </c>
      <c r="G75" t="s">
        <v>59</v>
      </c>
      <c r="H75" s="4">
        <v>0.37040000000000006</v>
      </c>
      <c r="I75" s="5">
        <v>90.6</v>
      </c>
      <c r="J75">
        <v>170220</v>
      </c>
      <c r="M75" t="s">
        <v>57</v>
      </c>
      <c r="N75" t="s">
        <v>63</v>
      </c>
      <c r="O75" s="2">
        <v>-4.4047618956710721E-6</v>
      </c>
      <c r="P75" s="2">
        <v>-3.5714282375920448E-7</v>
      </c>
      <c r="Q75" s="2">
        <v>-0.49385088682649281</v>
      </c>
      <c r="R75" s="2">
        <v>0</v>
      </c>
      <c r="S75" s="2">
        <v>0.49385088682649281</v>
      </c>
      <c r="T75" s="5">
        <f t="shared" ref="T75:V75" si="146">IFERROR(MROUND(Q75,0.2),-MROUND(ABS(Q75),0.2))</f>
        <v>-0.4</v>
      </c>
      <c r="U75" s="5">
        <f t="shared" si="146"/>
        <v>0</v>
      </c>
      <c r="V75" s="5">
        <f t="shared" si="146"/>
        <v>0.4</v>
      </c>
      <c r="W75" s="2">
        <f t="shared" ref="W75:Y75" si="147">Q75^2</f>
        <v>0.2438886984193134</v>
      </c>
      <c r="X75" s="2">
        <f t="shared" si="147"/>
        <v>0</v>
      </c>
      <c r="Y75" s="2">
        <f t="shared" si="147"/>
        <v>0.2438886984193134</v>
      </c>
    </row>
    <row r="76" spans="1:25" x14ac:dyDescent="0.7">
      <c r="A76" t="s">
        <v>56</v>
      </c>
      <c r="B76" s="3">
        <v>0.6428935185185185</v>
      </c>
      <c r="C76" t="s">
        <v>57</v>
      </c>
      <c r="D76" s="2">
        <v>37.63297</v>
      </c>
      <c r="E76" t="s">
        <v>58</v>
      </c>
      <c r="F76" s="2">
        <v>141.01286999999999</v>
      </c>
      <c r="G76" t="s">
        <v>59</v>
      </c>
      <c r="H76" s="4">
        <v>0.37040000000000006</v>
      </c>
      <c r="I76" s="5">
        <v>90.6</v>
      </c>
      <c r="J76">
        <v>170220</v>
      </c>
      <c r="M76" t="s">
        <v>57</v>
      </c>
      <c r="N76" t="s">
        <v>61</v>
      </c>
      <c r="O76" s="2">
        <v>-4.4047618956710721E-6</v>
      </c>
      <c r="P76" s="2">
        <v>-2.0238095146396518E-6</v>
      </c>
      <c r="Q76" s="2">
        <v>-0.49385088682649281</v>
      </c>
      <c r="R76" s="2">
        <v>-0.1646169622754976</v>
      </c>
      <c r="S76" s="2">
        <v>0.5205645423724552</v>
      </c>
      <c r="T76" s="5">
        <f t="shared" ref="T76:V76" si="148">IFERROR(MROUND(Q76,0.2),-MROUND(ABS(Q76),0.2))</f>
        <v>-0.4</v>
      </c>
      <c r="U76" s="5">
        <f t="shared" si="148"/>
        <v>-0.2</v>
      </c>
      <c r="V76" s="5">
        <f t="shared" si="148"/>
        <v>0.60000000000000009</v>
      </c>
      <c r="W76" s="2">
        <f t="shared" ref="W76:Y76" si="149">Q76^2</f>
        <v>0.2438886984193134</v>
      </c>
      <c r="X76" s="2">
        <f t="shared" si="149"/>
        <v>2.7098744268812602E-2</v>
      </c>
      <c r="Y76" s="2">
        <f t="shared" si="149"/>
        <v>0.27098744277544368</v>
      </c>
    </row>
    <row r="77" spans="1:25" x14ac:dyDescent="0.7">
      <c r="A77" t="s">
        <v>56</v>
      </c>
      <c r="B77" s="3">
        <v>0.64290509259259265</v>
      </c>
      <c r="C77" t="s">
        <v>57</v>
      </c>
      <c r="D77" s="2">
        <v>37.63297</v>
      </c>
      <c r="E77" t="s">
        <v>58</v>
      </c>
      <c r="F77" s="2">
        <v>141.01286833333333</v>
      </c>
      <c r="G77" t="s">
        <v>59</v>
      </c>
      <c r="H77" s="4">
        <v>0</v>
      </c>
      <c r="I77" s="5">
        <v>90.6</v>
      </c>
      <c r="J77">
        <v>170220</v>
      </c>
      <c r="M77" t="s">
        <v>57</v>
      </c>
      <c r="N77" t="s">
        <v>61</v>
      </c>
      <c r="O77" s="2">
        <v>-4.4047618956710721E-6</v>
      </c>
      <c r="P77" s="2">
        <v>-3.6904761770983896E-6</v>
      </c>
      <c r="Q77" s="2">
        <v>-0.49385088682649281</v>
      </c>
      <c r="R77" s="2">
        <v>-0.31521748439906938</v>
      </c>
      <c r="S77" s="2">
        <v>0.58587606309334395</v>
      </c>
      <c r="T77" s="5">
        <f t="shared" ref="T77:V77" si="150">IFERROR(MROUND(Q77,0.2),-MROUND(ABS(Q77),0.2))</f>
        <v>-0.4</v>
      </c>
      <c r="U77" s="5">
        <f t="shared" si="150"/>
        <v>-0.4</v>
      </c>
      <c r="V77" s="5">
        <f t="shared" si="150"/>
        <v>0.60000000000000009</v>
      </c>
      <c r="W77" s="2">
        <f t="shared" ref="W77:Y77" si="151">Q77^2</f>
        <v>0.2438886984193134</v>
      </c>
      <c r="X77" s="2">
        <f t="shared" si="151"/>
        <v>9.9362062470877546E-2</v>
      </c>
      <c r="Y77" s="2">
        <f t="shared" si="151"/>
        <v>0.34325076130575594</v>
      </c>
    </row>
    <row r="78" spans="1:25" x14ac:dyDescent="0.7">
      <c r="A78" t="s">
        <v>56</v>
      </c>
      <c r="B78" s="3">
        <v>0.64291666666666669</v>
      </c>
      <c r="C78" t="s">
        <v>57</v>
      </c>
      <c r="D78" s="2">
        <v>37.63297166666667</v>
      </c>
      <c r="E78" t="s">
        <v>58</v>
      </c>
      <c r="F78" s="2">
        <v>141.01286666666667</v>
      </c>
      <c r="G78" t="s">
        <v>59</v>
      </c>
      <c r="H78" s="4">
        <v>0</v>
      </c>
      <c r="I78" s="5">
        <v>90.6</v>
      </c>
      <c r="J78">
        <v>170220</v>
      </c>
      <c r="M78" t="s">
        <v>57</v>
      </c>
      <c r="N78" t="s">
        <v>60</v>
      </c>
      <c r="O78" s="2">
        <v>-2.7380952261069069E-6</v>
      </c>
      <c r="P78" s="2">
        <v>-5.3571428395571274E-6</v>
      </c>
      <c r="Q78" s="2">
        <v>-0.30054807823986107</v>
      </c>
      <c r="R78" s="2">
        <v>-0.46560708158824315</v>
      </c>
      <c r="S78" s="2">
        <v>0.55418327389718169</v>
      </c>
      <c r="T78" s="5">
        <f t="shared" ref="T78:V78" si="152">IFERROR(MROUND(Q78,0.2),-MROUND(ABS(Q78),0.2))</f>
        <v>-0.4</v>
      </c>
      <c r="U78" s="5">
        <f t="shared" si="152"/>
        <v>-0.4</v>
      </c>
      <c r="V78" s="5">
        <f t="shared" si="152"/>
        <v>0.60000000000000009</v>
      </c>
      <c r="W78" s="2">
        <f t="shared" ref="W78:Y78" si="153">Q78^2</f>
        <v>9.0329147333673657E-2</v>
      </c>
      <c r="X78" s="2">
        <f t="shared" si="153"/>
        <v>0.21678995442512092</v>
      </c>
      <c r="Y78" s="2">
        <f t="shared" si="153"/>
        <v>0.3071191010673987</v>
      </c>
    </row>
    <row r="79" spans="1:25" x14ac:dyDescent="0.7">
      <c r="A79" t="s">
        <v>56</v>
      </c>
      <c r="B79" s="3">
        <v>0.64292824074074073</v>
      </c>
      <c r="C79" t="s">
        <v>57</v>
      </c>
      <c r="D79" s="2">
        <v>37.632973333333332</v>
      </c>
      <c r="E79" t="s">
        <v>58</v>
      </c>
      <c r="F79" s="2">
        <v>141.01286500000001</v>
      </c>
      <c r="G79" t="s">
        <v>59</v>
      </c>
      <c r="H79" s="4">
        <v>0</v>
      </c>
      <c r="I79" s="5">
        <v>90.6</v>
      </c>
      <c r="J79">
        <v>170220</v>
      </c>
      <c r="M79" t="s">
        <v>57</v>
      </c>
      <c r="N79" t="s">
        <v>88</v>
      </c>
      <c r="O79" s="2">
        <v>-1.0714285636481691E-6</v>
      </c>
      <c r="P79" s="2">
        <v>-7.0238095020158653E-6</v>
      </c>
      <c r="Q79" s="2">
        <v>-0.13440918607627972</v>
      </c>
      <c r="R79" s="2">
        <v>-0.61594027313272059</v>
      </c>
      <c r="S79" s="2">
        <v>0.63043496879813876</v>
      </c>
      <c r="T79" s="5">
        <f t="shared" ref="T79:V79" si="154">IFERROR(MROUND(Q79,0.2),-MROUND(ABS(Q79),0.2))</f>
        <v>-0.2</v>
      </c>
      <c r="U79" s="5">
        <f t="shared" si="154"/>
        <v>-0.60000000000000009</v>
      </c>
      <c r="V79" s="5">
        <f t="shared" si="154"/>
        <v>0.60000000000000009</v>
      </c>
      <c r="W79" s="2">
        <f t="shared" ref="W79:Y79" si="155">Q79^2</f>
        <v>1.8065829301687986E-2</v>
      </c>
      <c r="X79" s="2">
        <f t="shared" si="155"/>
        <v>0.37938242006681044</v>
      </c>
      <c r="Y79" s="2">
        <f t="shared" si="155"/>
        <v>0.39744824988351019</v>
      </c>
    </row>
    <row r="80" spans="1:25" x14ac:dyDescent="0.7">
      <c r="A80" t="s">
        <v>56</v>
      </c>
      <c r="B80" s="3">
        <v>0.64293981481481477</v>
      </c>
      <c r="C80" t="s">
        <v>57</v>
      </c>
      <c r="D80" s="2">
        <v>37.632975000000002</v>
      </c>
      <c r="E80" t="s">
        <v>58</v>
      </c>
      <c r="F80" s="2">
        <v>141.01286666666667</v>
      </c>
      <c r="G80" t="s">
        <v>59</v>
      </c>
      <c r="H80" s="4">
        <v>0.37040000000000006</v>
      </c>
      <c r="I80" s="5">
        <v>90.6</v>
      </c>
      <c r="J80">
        <v>170220</v>
      </c>
      <c r="M80" t="s">
        <v>57</v>
      </c>
      <c r="N80" t="s">
        <v>63</v>
      </c>
      <c r="O80" s="2">
        <v>5.9523810591599613E-7</v>
      </c>
      <c r="P80" s="2">
        <v>-5.3571428395571274E-6</v>
      </c>
      <c r="Q80" s="2">
        <v>0</v>
      </c>
      <c r="R80" s="2">
        <v>-0.46560708158824315</v>
      </c>
      <c r="S80" s="2">
        <v>0.47520823776721954</v>
      </c>
      <c r="T80" s="5">
        <f t="shared" ref="T80:V80" si="156">IFERROR(MROUND(Q80,0.2),-MROUND(ABS(Q80),0.2))</f>
        <v>0</v>
      </c>
      <c r="U80" s="5">
        <f t="shared" si="156"/>
        <v>-0.4</v>
      </c>
      <c r="V80" s="5">
        <f t="shared" si="156"/>
        <v>0.4</v>
      </c>
      <c r="W80" s="2">
        <f t="shared" ref="W80:Y80" si="157">Q80^2</f>
        <v>0</v>
      </c>
      <c r="X80" s="2">
        <f t="shared" si="157"/>
        <v>0.21678995442512092</v>
      </c>
      <c r="Y80" s="2">
        <f t="shared" si="157"/>
        <v>0.22582286924182626</v>
      </c>
    </row>
    <row r="81" spans="1:25" x14ac:dyDescent="0.7">
      <c r="A81" t="s">
        <v>56</v>
      </c>
      <c r="B81" s="3">
        <v>0.64295138888888892</v>
      </c>
      <c r="C81" t="s">
        <v>57</v>
      </c>
      <c r="D81" s="2">
        <v>37.632973333333332</v>
      </c>
      <c r="E81" t="s">
        <v>58</v>
      </c>
      <c r="F81" s="2">
        <v>141.01286666666667</v>
      </c>
      <c r="G81" t="s">
        <v>59</v>
      </c>
      <c r="H81" s="4">
        <v>0.37040000000000006</v>
      </c>
      <c r="I81" s="5">
        <v>90.6</v>
      </c>
      <c r="J81">
        <v>170220</v>
      </c>
      <c r="M81" t="s">
        <v>57</v>
      </c>
      <c r="N81" t="s">
        <v>63</v>
      </c>
      <c r="O81" s="2">
        <v>-1.0714285636481691E-6</v>
      </c>
      <c r="P81" s="2">
        <v>-5.3571428395571274E-6</v>
      </c>
      <c r="Q81" s="2">
        <v>-0.13440918607627972</v>
      </c>
      <c r="R81" s="2">
        <v>-0.46560708158824315</v>
      </c>
      <c r="S81" s="2">
        <v>0.48461921537840325</v>
      </c>
      <c r="T81" s="5">
        <f t="shared" ref="T81:V81" si="158">IFERROR(MROUND(Q81,0.2),-MROUND(ABS(Q81),0.2))</f>
        <v>-0.2</v>
      </c>
      <c r="U81" s="5">
        <f t="shared" si="158"/>
        <v>-0.4</v>
      </c>
      <c r="V81" s="5">
        <f t="shared" si="158"/>
        <v>0.4</v>
      </c>
      <c r="W81" s="2">
        <f t="shared" ref="W81:Y81" si="159">Q81^2</f>
        <v>1.8065829301687986E-2</v>
      </c>
      <c r="X81" s="2">
        <f t="shared" si="159"/>
        <v>0.21678995442512092</v>
      </c>
      <c r="Y81" s="2">
        <f t="shared" si="159"/>
        <v>0.23485578391397918</v>
      </c>
    </row>
    <row r="82" spans="1:25" x14ac:dyDescent="0.7">
      <c r="A82" t="s">
        <v>56</v>
      </c>
      <c r="B82" s="3">
        <v>0.64296296296296296</v>
      </c>
      <c r="C82" t="s">
        <v>57</v>
      </c>
      <c r="D82" s="2">
        <v>37.632975000000002</v>
      </c>
      <c r="E82" t="s">
        <v>58</v>
      </c>
      <c r="F82" s="2">
        <v>141.01286833333333</v>
      </c>
      <c r="G82" t="s">
        <v>59</v>
      </c>
      <c r="H82" s="4">
        <v>0</v>
      </c>
      <c r="I82" s="5">
        <v>90.6</v>
      </c>
      <c r="J82">
        <v>170220</v>
      </c>
      <c r="M82" t="s">
        <v>57</v>
      </c>
      <c r="N82" t="s">
        <v>88</v>
      </c>
      <c r="O82" s="2">
        <v>5.9523810591599613E-7</v>
      </c>
      <c r="P82" s="2">
        <v>-3.6904761770983896E-6</v>
      </c>
      <c r="Q82" s="2">
        <v>0</v>
      </c>
      <c r="R82" s="2">
        <v>-0.31521748439906938</v>
      </c>
      <c r="S82" s="2">
        <v>0.32923392455099521</v>
      </c>
      <c r="T82" s="5">
        <f t="shared" ref="T82:V82" si="160">IFERROR(MROUND(Q82,0.2),-MROUND(ABS(Q82),0.2))</f>
        <v>0</v>
      </c>
      <c r="U82" s="5">
        <f t="shared" si="160"/>
        <v>-0.4</v>
      </c>
      <c r="V82" s="5">
        <f t="shared" si="160"/>
        <v>0.4</v>
      </c>
      <c r="W82" s="2">
        <f t="shared" ref="W82:Y82" si="161">Q82^2</f>
        <v>0</v>
      </c>
      <c r="X82" s="2">
        <f t="shared" si="161"/>
        <v>9.9362062470877546E-2</v>
      </c>
      <c r="Y82" s="2">
        <f t="shared" si="161"/>
        <v>0.10839497707525041</v>
      </c>
    </row>
    <row r="83" spans="1:25" x14ac:dyDescent="0.7">
      <c r="A83" t="s">
        <v>56</v>
      </c>
      <c r="B83" s="3">
        <v>0.64297453703703711</v>
      </c>
      <c r="C83" t="s">
        <v>57</v>
      </c>
      <c r="D83" s="2">
        <v>37.632975000000002</v>
      </c>
      <c r="E83" t="s">
        <v>58</v>
      </c>
      <c r="F83" s="2">
        <v>141.01287166666668</v>
      </c>
      <c r="G83" t="s">
        <v>59</v>
      </c>
      <c r="H83" s="4">
        <v>0</v>
      </c>
      <c r="I83" s="5">
        <v>90.6</v>
      </c>
      <c r="J83">
        <v>170220</v>
      </c>
      <c r="M83" t="s">
        <v>57</v>
      </c>
      <c r="N83" t="s">
        <v>61</v>
      </c>
      <c r="O83" s="2">
        <v>5.9523810591599613E-7</v>
      </c>
      <c r="P83" s="2">
        <v>-3.5714282375920448E-7</v>
      </c>
      <c r="Q83" s="2">
        <v>0</v>
      </c>
      <c r="R83" s="2">
        <v>0</v>
      </c>
      <c r="S83" s="2">
        <v>0</v>
      </c>
      <c r="T83" s="5">
        <f t="shared" ref="T83:V83" si="162">IFERROR(MROUND(Q83,0.2),-MROUND(ABS(Q83),0.2))</f>
        <v>0</v>
      </c>
      <c r="U83" s="5">
        <f t="shared" si="162"/>
        <v>0</v>
      </c>
      <c r="V83" s="5">
        <f t="shared" si="162"/>
        <v>0</v>
      </c>
      <c r="W83" s="2">
        <f t="shared" ref="W83:Y83" si="163">Q83^2</f>
        <v>0</v>
      </c>
      <c r="X83" s="2">
        <f t="shared" si="163"/>
        <v>0</v>
      </c>
      <c r="Y83" s="2">
        <f t="shared" si="163"/>
        <v>0</v>
      </c>
    </row>
    <row r="84" spans="1:25" x14ac:dyDescent="0.7">
      <c r="A84" t="s">
        <v>56</v>
      </c>
      <c r="B84" s="3">
        <v>0.64298611111111115</v>
      </c>
      <c r="C84" t="s">
        <v>57</v>
      </c>
      <c r="D84" s="2">
        <v>37.632976666666664</v>
      </c>
      <c r="E84" t="s">
        <v>58</v>
      </c>
      <c r="F84" s="2">
        <v>141.01287333333332</v>
      </c>
      <c r="G84" t="s">
        <v>59</v>
      </c>
      <c r="H84" s="4">
        <v>0</v>
      </c>
      <c r="I84" s="5">
        <v>90.6</v>
      </c>
      <c r="J84">
        <v>170220</v>
      </c>
      <c r="M84" t="s">
        <v>57</v>
      </c>
      <c r="N84" t="s">
        <v>88</v>
      </c>
      <c r="O84" s="2">
        <v>2.261904768374734E-6</v>
      </c>
      <c r="P84" s="2">
        <v>1.3095238102778239E-6</v>
      </c>
      <c r="Q84" s="2">
        <v>0.25145656374481296</v>
      </c>
      <c r="R84" s="2">
        <v>9.5041647553443909E-2</v>
      </c>
      <c r="S84" s="2">
        <v>0.26881837356879035</v>
      </c>
      <c r="T84" s="5">
        <f t="shared" ref="T84:V84" si="164">IFERROR(MROUND(Q84,0.2),-MROUND(ABS(Q84),0.2))</f>
        <v>0.2</v>
      </c>
      <c r="U84" s="5">
        <f t="shared" si="164"/>
        <v>0</v>
      </c>
      <c r="V84" s="5">
        <f t="shared" si="164"/>
        <v>0.2</v>
      </c>
      <c r="W84" s="2">
        <f t="shared" ref="W84:Y84" si="165">Q84^2</f>
        <v>6.3230403450349179E-2</v>
      </c>
      <c r="X84" s="2">
        <f t="shared" si="165"/>
        <v>9.0329147696730505E-3</v>
      </c>
      <c r="Y84" s="2">
        <f t="shared" si="165"/>
        <v>7.2263317968169719E-2</v>
      </c>
    </row>
    <row r="85" spans="1:25" x14ac:dyDescent="0.7">
      <c r="A85" t="s">
        <v>56</v>
      </c>
      <c r="B85" s="3">
        <v>0.64299768518518519</v>
      </c>
      <c r="C85" t="s">
        <v>57</v>
      </c>
      <c r="D85" s="2">
        <v>37.632976666666664</v>
      </c>
      <c r="E85" t="s">
        <v>58</v>
      </c>
      <c r="F85" s="2">
        <v>141.01287499999998</v>
      </c>
      <c r="G85" t="s">
        <v>59</v>
      </c>
      <c r="H85" s="4">
        <v>0</v>
      </c>
      <c r="I85" s="5">
        <v>90.6</v>
      </c>
      <c r="J85">
        <v>170220</v>
      </c>
      <c r="M85" t="s">
        <v>57</v>
      </c>
      <c r="N85" t="s">
        <v>88</v>
      </c>
      <c r="O85" s="2">
        <v>2.261904768374734E-6</v>
      </c>
      <c r="P85" s="2">
        <v>2.9761904727365618E-6</v>
      </c>
      <c r="Q85" s="2">
        <v>0.25145656374481296</v>
      </c>
      <c r="R85" s="2">
        <v>0.25145656374481296</v>
      </c>
      <c r="S85" s="2">
        <v>0.35561328162303774</v>
      </c>
      <c r="T85" s="5">
        <f t="shared" ref="T85:V85" si="166">IFERROR(MROUND(Q85,0.2),-MROUND(ABS(Q85),0.2))</f>
        <v>0.2</v>
      </c>
      <c r="U85" s="5">
        <f t="shared" si="166"/>
        <v>0.2</v>
      </c>
      <c r="V85" s="5">
        <f t="shared" si="166"/>
        <v>0.4</v>
      </c>
      <c r="W85" s="2">
        <f t="shared" ref="W85:Y85" si="167">Q85^2</f>
        <v>6.3230403450349179E-2</v>
      </c>
      <c r="X85" s="2">
        <f t="shared" si="167"/>
        <v>6.3230403450349179E-2</v>
      </c>
      <c r="Y85" s="2">
        <f t="shared" si="167"/>
        <v>0.12646080606670596</v>
      </c>
    </row>
    <row r="86" spans="1:25" x14ac:dyDescent="0.7">
      <c r="A86" t="s">
        <v>56</v>
      </c>
      <c r="B86" s="3">
        <v>0.64300925925925922</v>
      </c>
      <c r="C86" t="s">
        <v>57</v>
      </c>
      <c r="D86" s="2">
        <v>37.632975000000002</v>
      </c>
      <c r="E86" t="s">
        <v>58</v>
      </c>
      <c r="F86" s="2">
        <v>141.01287499999998</v>
      </c>
      <c r="G86" t="s">
        <v>59</v>
      </c>
      <c r="H86" s="4">
        <v>0</v>
      </c>
      <c r="I86" s="5">
        <v>90.6</v>
      </c>
      <c r="J86">
        <v>170220</v>
      </c>
      <c r="M86" t="s">
        <v>57</v>
      </c>
      <c r="N86" t="s">
        <v>88</v>
      </c>
      <c r="O86" s="2">
        <v>5.9523810591599613E-7</v>
      </c>
      <c r="P86" s="2">
        <v>2.9761904727365618E-6</v>
      </c>
      <c r="Q86" s="2">
        <v>0</v>
      </c>
      <c r="R86" s="2">
        <v>0.25145656374481296</v>
      </c>
      <c r="S86" s="2">
        <v>0.26881837356879035</v>
      </c>
      <c r="T86" s="5">
        <f t="shared" ref="T86:V86" si="168">IFERROR(MROUND(Q86,0.2),-MROUND(ABS(Q86),0.2))</f>
        <v>0</v>
      </c>
      <c r="U86" s="5">
        <f t="shared" si="168"/>
        <v>0.2</v>
      </c>
      <c r="V86" s="5">
        <f t="shared" si="168"/>
        <v>0.2</v>
      </c>
      <c r="W86" s="2">
        <f t="shared" ref="W86:Y86" si="169">Q86^2</f>
        <v>0</v>
      </c>
      <c r="X86" s="2">
        <f t="shared" si="169"/>
        <v>6.3230403450349179E-2</v>
      </c>
      <c r="Y86" s="2">
        <f t="shared" si="169"/>
        <v>7.2263317968169719E-2</v>
      </c>
    </row>
    <row r="87" spans="1:25" x14ac:dyDescent="0.7">
      <c r="A87" t="s">
        <v>56</v>
      </c>
      <c r="B87" s="3">
        <v>0.64302083333333326</v>
      </c>
      <c r="C87" t="s">
        <v>57</v>
      </c>
      <c r="D87" s="2">
        <v>37.632975000000002</v>
      </c>
      <c r="E87" t="s">
        <v>58</v>
      </c>
      <c r="F87" s="2">
        <v>141.01287499999998</v>
      </c>
      <c r="G87" t="s">
        <v>59</v>
      </c>
      <c r="H87" s="4">
        <v>0</v>
      </c>
      <c r="I87" s="5">
        <v>90.6</v>
      </c>
      <c r="J87">
        <v>170220</v>
      </c>
      <c r="M87" t="s">
        <v>57</v>
      </c>
      <c r="N87" t="s">
        <v>63</v>
      </c>
      <c r="O87" s="2">
        <v>5.9523810591599613E-7</v>
      </c>
      <c r="P87" s="2">
        <v>2.9761904727365618E-6</v>
      </c>
      <c r="Q87" s="2">
        <v>0</v>
      </c>
      <c r="R87" s="2">
        <v>0.25145656374481296</v>
      </c>
      <c r="S87" s="2">
        <v>0.26881837356879035</v>
      </c>
      <c r="T87" s="5">
        <f t="shared" ref="T87:V87" si="170">IFERROR(MROUND(Q87,0.2),-MROUND(ABS(Q87),0.2))</f>
        <v>0</v>
      </c>
      <c r="U87" s="5">
        <f t="shared" si="170"/>
        <v>0.2</v>
      </c>
      <c r="V87" s="5">
        <f t="shared" si="170"/>
        <v>0.2</v>
      </c>
      <c r="W87" s="2">
        <f t="shared" ref="W87:Y87" si="171">Q87^2</f>
        <v>0</v>
      </c>
      <c r="X87" s="2">
        <f t="shared" si="171"/>
        <v>6.3230403450349179E-2</v>
      </c>
      <c r="Y87" s="2">
        <f t="shared" si="171"/>
        <v>7.2263317968169719E-2</v>
      </c>
    </row>
    <row r="88" spans="1:25" x14ac:dyDescent="0.7">
      <c r="A88" t="s">
        <v>56</v>
      </c>
      <c r="B88" s="3">
        <v>0.64303240740740741</v>
      </c>
      <c r="C88" t="s">
        <v>57</v>
      </c>
      <c r="D88" s="2">
        <v>37.632975000000002</v>
      </c>
      <c r="E88" t="s">
        <v>58</v>
      </c>
      <c r="F88" s="2">
        <v>141.01287499999998</v>
      </c>
      <c r="G88" t="s">
        <v>59</v>
      </c>
      <c r="H88" s="4">
        <v>0</v>
      </c>
      <c r="I88" s="5">
        <v>90.6</v>
      </c>
      <c r="J88">
        <v>170220</v>
      </c>
      <c r="M88" t="s">
        <v>57</v>
      </c>
      <c r="N88" t="s">
        <v>87</v>
      </c>
      <c r="O88" s="2">
        <v>5.9523810591599613E-7</v>
      </c>
      <c r="P88" s="2">
        <v>2.9761904727365618E-6</v>
      </c>
      <c r="Q88" s="2">
        <v>0</v>
      </c>
      <c r="R88" s="2">
        <v>0.25145656374481296</v>
      </c>
      <c r="S88" s="2">
        <v>0.26881837356879035</v>
      </c>
      <c r="T88" s="5">
        <f t="shared" ref="T88:V88" si="172">IFERROR(MROUND(Q88,0.2),-MROUND(ABS(Q88),0.2))</f>
        <v>0</v>
      </c>
      <c r="U88" s="5">
        <f t="shared" si="172"/>
        <v>0.2</v>
      </c>
      <c r="V88" s="5">
        <f t="shared" si="172"/>
        <v>0.2</v>
      </c>
      <c r="W88" s="2">
        <f t="shared" ref="W88:Y88" si="173">Q88^2</f>
        <v>0</v>
      </c>
      <c r="X88" s="2">
        <f t="shared" si="173"/>
        <v>6.3230403450349179E-2</v>
      </c>
      <c r="Y88" s="2">
        <f t="shared" si="173"/>
        <v>7.2263317968169719E-2</v>
      </c>
    </row>
    <row r="89" spans="1:25" x14ac:dyDescent="0.7">
      <c r="A89" t="s">
        <v>56</v>
      </c>
      <c r="B89" s="3">
        <v>0.64304398148148145</v>
      </c>
      <c r="C89" t="s">
        <v>57</v>
      </c>
      <c r="D89" s="2">
        <v>37.632975000000002</v>
      </c>
      <c r="E89" t="s">
        <v>58</v>
      </c>
      <c r="F89" s="2">
        <v>141.01287333333332</v>
      </c>
      <c r="G89" t="s">
        <v>59</v>
      </c>
      <c r="H89" s="4">
        <v>0</v>
      </c>
      <c r="I89" s="5">
        <v>90.6</v>
      </c>
      <c r="J89">
        <v>170220</v>
      </c>
      <c r="M89" t="s">
        <v>57</v>
      </c>
      <c r="N89" t="s">
        <v>87</v>
      </c>
      <c r="O89" s="2">
        <v>5.9523810591599613E-7</v>
      </c>
      <c r="P89" s="2">
        <v>1.3095238102778239E-6</v>
      </c>
      <c r="Q89" s="2">
        <v>0</v>
      </c>
      <c r="R89" s="2">
        <v>9.5041647553443909E-2</v>
      </c>
      <c r="S89" s="2">
        <v>9.5041647553443909E-2</v>
      </c>
      <c r="T89" s="5">
        <f t="shared" ref="T89:V89" si="174">IFERROR(MROUND(Q89,0.2),-MROUND(ABS(Q89),0.2))</f>
        <v>0</v>
      </c>
      <c r="U89" s="5">
        <f t="shared" si="174"/>
        <v>0</v>
      </c>
      <c r="V89" s="5">
        <f t="shared" si="174"/>
        <v>0</v>
      </c>
      <c r="W89" s="2">
        <f t="shared" ref="W89:Y89" si="175">Q89^2</f>
        <v>0</v>
      </c>
      <c r="X89" s="2">
        <f t="shared" si="175"/>
        <v>9.0329147696730505E-3</v>
      </c>
      <c r="Y89" s="2">
        <f t="shared" si="175"/>
        <v>9.0329147696730505E-3</v>
      </c>
    </row>
    <row r="90" spans="1:25" x14ac:dyDescent="0.7">
      <c r="A90" t="s">
        <v>56</v>
      </c>
      <c r="B90" s="3">
        <v>0.6430555555555556</v>
      </c>
      <c r="C90" t="s">
        <v>57</v>
      </c>
      <c r="D90" s="2">
        <v>37.632975000000002</v>
      </c>
      <c r="E90" t="s">
        <v>58</v>
      </c>
      <c r="F90" s="2">
        <v>141.01287333333332</v>
      </c>
      <c r="G90" t="s">
        <v>59</v>
      </c>
      <c r="H90" s="4">
        <v>0</v>
      </c>
      <c r="I90" s="5">
        <v>90.6</v>
      </c>
      <c r="J90">
        <v>170220</v>
      </c>
      <c r="M90" t="s">
        <v>57</v>
      </c>
      <c r="N90" t="s">
        <v>63</v>
      </c>
      <c r="O90" s="2">
        <v>5.9523810591599613E-7</v>
      </c>
      <c r="P90" s="2">
        <v>1.3095238102778239E-6</v>
      </c>
      <c r="Q90" s="2">
        <v>0</v>
      </c>
      <c r="R90" s="2">
        <v>9.5041647553443909E-2</v>
      </c>
      <c r="S90" s="2">
        <v>9.5041647553443909E-2</v>
      </c>
      <c r="T90" s="5">
        <f t="shared" ref="T90:V90" si="176">IFERROR(MROUND(Q90,0.2),-MROUND(ABS(Q90),0.2))</f>
        <v>0</v>
      </c>
      <c r="U90" s="5">
        <f t="shared" si="176"/>
        <v>0</v>
      </c>
      <c r="V90" s="5">
        <f t="shared" si="176"/>
        <v>0</v>
      </c>
      <c r="W90" s="2">
        <f t="shared" ref="W90:Y90" si="177">Q90^2</f>
        <v>0</v>
      </c>
      <c r="X90" s="2">
        <f t="shared" si="177"/>
        <v>9.0329147696730505E-3</v>
      </c>
      <c r="Y90" s="2">
        <f t="shared" si="177"/>
        <v>9.0329147696730505E-3</v>
      </c>
    </row>
    <row r="91" spans="1:25" x14ac:dyDescent="0.7">
      <c r="A91" t="s">
        <v>56</v>
      </c>
      <c r="B91" s="3">
        <v>0.64306712962962964</v>
      </c>
      <c r="C91" t="s">
        <v>57</v>
      </c>
      <c r="D91" s="2">
        <v>37.632973333333332</v>
      </c>
      <c r="E91" t="s">
        <v>58</v>
      </c>
      <c r="F91" s="2">
        <v>141.01287166666668</v>
      </c>
      <c r="G91" t="s">
        <v>59</v>
      </c>
      <c r="H91" s="4">
        <v>0</v>
      </c>
      <c r="I91" s="5">
        <v>90.6</v>
      </c>
      <c r="J91">
        <v>170220</v>
      </c>
      <c r="M91" t="s">
        <v>57</v>
      </c>
      <c r="N91" t="s">
        <v>68</v>
      </c>
      <c r="O91" s="2">
        <v>-1.0714285636481691E-6</v>
      </c>
      <c r="P91" s="2">
        <v>-3.5714282375920448E-7</v>
      </c>
      <c r="Q91" s="2">
        <v>-0.13440918607627972</v>
      </c>
      <c r="R91" s="2">
        <v>0</v>
      </c>
      <c r="S91" s="2">
        <v>0.13440918607627972</v>
      </c>
      <c r="T91" s="5">
        <f t="shared" ref="T91:V91" si="178">IFERROR(MROUND(Q91,0.2),-MROUND(ABS(Q91),0.2))</f>
        <v>-0.2</v>
      </c>
      <c r="U91" s="5">
        <f t="shared" si="178"/>
        <v>0</v>
      </c>
      <c r="V91" s="5">
        <f t="shared" si="178"/>
        <v>0.2</v>
      </c>
      <c r="W91" s="2">
        <f t="shared" ref="W91:Y91" si="179">Q91^2</f>
        <v>1.8065829301687986E-2</v>
      </c>
      <c r="X91" s="2">
        <f t="shared" si="179"/>
        <v>0</v>
      </c>
      <c r="Y91" s="2">
        <f t="shared" si="179"/>
        <v>1.8065829301687986E-2</v>
      </c>
    </row>
    <row r="92" spans="1:25" x14ac:dyDescent="0.7">
      <c r="A92" t="s">
        <v>56</v>
      </c>
      <c r="B92" s="3">
        <v>0.64307870370370368</v>
      </c>
      <c r="C92" t="s">
        <v>57</v>
      </c>
      <c r="D92" s="2">
        <v>37.632976666666664</v>
      </c>
      <c r="E92" t="s">
        <v>58</v>
      </c>
      <c r="F92" s="2">
        <v>141.01287166666668</v>
      </c>
      <c r="G92" t="s">
        <v>59</v>
      </c>
      <c r="H92" s="4">
        <v>0</v>
      </c>
      <c r="I92" s="5">
        <v>90.6</v>
      </c>
      <c r="J92">
        <v>170220</v>
      </c>
      <c r="M92" t="s">
        <v>57</v>
      </c>
      <c r="N92" t="s">
        <v>67</v>
      </c>
      <c r="O92" s="2">
        <v>2.261904768374734E-6</v>
      </c>
      <c r="P92" s="2">
        <v>-3.5714282375920448E-7</v>
      </c>
      <c r="Q92" s="2">
        <v>0.25145656374481296</v>
      </c>
      <c r="R92" s="2">
        <v>0</v>
      </c>
      <c r="S92" s="2">
        <v>0.25145656374481296</v>
      </c>
      <c r="T92" s="5">
        <f t="shared" ref="T92:V92" si="180">IFERROR(MROUND(Q92,0.2),-MROUND(ABS(Q92),0.2))</f>
        <v>0.2</v>
      </c>
      <c r="U92" s="5">
        <f t="shared" si="180"/>
        <v>0</v>
      </c>
      <c r="V92" s="5">
        <f t="shared" si="180"/>
        <v>0.2</v>
      </c>
      <c r="W92" s="2">
        <f t="shared" ref="W92:Y92" si="181">Q92^2</f>
        <v>6.3230403450349179E-2</v>
      </c>
      <c r="X92" s="2">
        <f t="shared" si="181"/>
        <v>0</v>
      </c>
      <c r="Y92" s="2">
        <f t="shared" si="181"/>
        <v>6.3230403450349179E-2</v>
      </c>
    </row>
    <row r="93" spans="1:25" x14ac:dyDescent="0.7">
      <c r="A93" t="s">
        <v>56</v>
      </c>
      <c r="B93" s="3">
        <v>0.64309027777777772</v>
      </c>
      <c r="C93" t="s">
        <v>57</v>
      </c>
      <c r="D93" s="2">
        <v>37.632978333333334</v>
      </c>
      <c r="E93" t="s">
        <v>58</v>
      </c>
      <c r="F93" s="2">
        <v>141.01287166666668</v>
      </c>
      <c r="G93" t="s">
        <v>59</v>
      </c>
      <c r="H93" s="4">
        <v>0</v>
      </c>
      <c r="I93" s="5">
        <v>90.6</v>
      </c>
      <c r="J93">
        <v>170220</v>
      </c>
      <c r="M93" t="s">
        <v>57</v>
      </c>
      <c r="N93" t="s">
        <v>67</v>
      </c>
      <c r="O93" s="2">
        <v>3.9285714379388992E-6</v>
      </c>
      <c r="P93" s="2">
        <v>-3.5714282375920448E-7</v>
      </c>
      <c r="Q93" s="2">
        <v>0.4355355439701365</v>
      </c>
      <c r="R93" s="2">
        <v>0</v>
      </c>
      <c r="S93" s="2">
        <v>0.4355355439701365</v>
      </c>
      <c r="T93" s="5">
        <f t="shared" ref="T93:V93" si="182">IFERROR(MROUND(Q93,0.2),-MROUND(ABS(Q93),0.2))</f>
        <v>0.4</v>
      </c>
      <c r="U93" s="5">
        <f t="shared" si="182"/>
        <v>0</v>
      </c>
      <c r="V93" s="5">
        <f t="shared" si="182"/>
        <v>0.4</v>
      </c>
      <c r="W93" s="2">
        <f t="shared" ref="W93:Y93" si="183">Q93^2</f>
        <v>0.18969121006136269</v>
      </c>
      <c r="X93" s="2">
        <f t="shared" si="183"/>
        <v>0</v>
      </c>
      <c r="Y93" s="2">
        <f t="shared" si="183"/>
        <v>0.18969121006136269</v>
      </c>
    </row>
    <row r="94" spans="1:25" x14ac:dyDescent="0.7">
      <c r="A94" t="s">
        <v>56</v>
      </c>
      <c r="B94" s="3">
        <v>0.64311342592592591</v>
      </c>
      <c r="C94" t="s">
        <v>57</v>
      </c>
      <c r="D94" s="2">
        <v>37.632979999999996</v>
      </c>
      <c r="E94" t="s">
        <v>58</v>
      </c>
      <c r="F94" s="2">
        <v>141.01287166666668</v>
      </c>
      <c r="G94" t="s">
        <v>59</v>
      </c>
      <c r="H94" s="4">
        <v>0</v>
      </c>
      <c r="I94" s="5">
        <v>90.6</v>
      </c>
      <c r="J94">
        <v>170220</v>
      </c>
      <c r="M94" t="s">
        <v>57</v>
      </c>
      <c r="N94" t="s">
        <v>87</v>
      </c>
      <c r="O94" s="2">
        <v>5.595238100397637E-6</v>
      </c>
      <c r="P94" s="2">
        <v>-3.5714282375920448E-7</v>
      </c>
      <c r="Q94" s="2">
        <v>0.62322976091616633</v>
      </c>
      <c r="R94" s="2">
        <v>0</v>
      </c>
      <c r="S94" s="2">
        <v>0.62322976091616633</v>
      </c>
      <c r="T94" s="5">
        <f t="shared" ref="T94:V94" si="184">IFERROR(MROUND(Q94,0.2),-MROUND(ABS(Q94),0.2))</f>
        <v>0.60000000000000009</v>
      </c>
      <c r="U94" s="5">
        <f t="shared" si="184"/>
        <v>0</v>
      </c>
      <c r="V94" s="5">
        <f t="shared" si="184"/>
        <v>0.60000000000000009</v>
      </c>
      <c r="W94" s="2">
        <f t="shared" ref="W94:Y94" si="185">Q94^2</f>
        <v>0.38841533489162183</v>
      </c>
      <c r="X94" s="2">
        <f t="shared" si="185"/>
        <v>0</v>
      </c>
      <c r="Y94" s="2">
        <f t="shared" si="185"/>
        <v>0.38841533489162183</v>
      </c>
    </row>
    <row r="95" spans="1:25" x14ac:dyDescent="0.7">
      <c r="A95" t="s">
        <v>56</v>
      </c>
      <c r="B95" s="3">
        <v>0.64312500000000006</v>
      </c>
      <c r="C95" t="s">
        <v>57</v>
      </c>
      <c r="D95" s="2">
        <v>37.632981666666666</v>
      </c>
      <c r="E95" t="s">
        <v>58</v>
      </c>
      <c r="F95" s="2">
        <v>141.01287166666668</v>
      </c>
      <c r="G95" t="s">
        <v>59</v>
      </c>
      <c r="H95" s="4">
        <v>0</v>
      </c>
      <c r="I95" s="5">
        <v>90.6</v>
      </c>
      <c r="J95">
        <v>170220</v>
      </c>
      <c r="M95" t="s">
        <v>57</v>
      </c>
      <c r="N95" t="s">
        <v>60</v>
      </c>
      <c r="O95" s="2">
        <v>7.2619047699618022E-6</v>
      </c>
      <c r="P95" s="2">
        <v>-3.5714282375920448E-7</v>
      </c>
      <c r="Q95" s="2">
        <v>0.80645512070637104</v>
      </c>
      <c r="R95" s="2">
        <v>0</v>
      </c>
      <c r="S95" s="2">
        <v>0.80645512070637104</v>
      </c>
      <c r="T95" s="5">
        <f t="shared" ref="T95:V95" si="186">IFERROR(MROUND(Q95,0.2),-MROUND(ABS(Q95),0.2))</f>
        <v>0.8</v>
      </c>
      <c r="U95" s="5">
        <f t="shared" si="186"/>
        <v>0</v>
      </c>
      <c r="V95" s="5">
        <f t="shared" si="186"/>
        <v>0.8</v>
      </c>
      <c r="W95" s="2">
        <f t="shared" ref="W95:Y95" si="187">Q95^2</f>
        <v>0.65036986171352751</v>
      </c>
      <c r="X95" s="2">
        <f t="shared" si="187"/>
        <v>0</v>
      </c>
      <c r="Y95" s="2">
        <f t="shared" si="187"/>
        <v>0.65036986171352751</v>
      </c>
    </row>
    <row r="96" spans="1:25" x14ac:dyDescent="0.7">
      <c r="A96" t="s">
        <v>56</v>
      </c>
      <c r="B96" s="3">
        <v>0.6431365740740741</v>
      </c>
      <c r="C96" t="s">
        <v>57</v>
      </c>
      <c r="D96" s="2">
        <v>37.632979999999996</v>
      </c>
      <c r="E96" t="s">
        <v>58</v>
      </c>
      <c r="F96" s="2">
        <v>141.01287166666668</v>
      </c>
      <c r="G96" t="s">
        <v>59</v>
      </c>
      <c r="H96" s="4">
        <v>0</v>
      </c>
      <c r="I96" s="5">
        <v>90.6</v>
      </c>
      <c r="J96">
        <v>170220</v>
      </c>
      <c r="M96" t="s">
        <v>57</v>
      </c>
      <c r="N96" t="s">
        <v>60</v>
      </c>
      <c r="O96" s="2">
        <v>5.595238100397637E-6</v>
      </c>
      <c r="P96" s="2">
        <v>-3.5714282375920448E-7</v>
      </c>
      <c r="Q96" s="2">
        <v>0.62322976091616633</v>
      </c>
      <c r="R96" s="2">
        <v>0</v>
      </c>
      <c r="S96" s="2">
        <v>0.62322976091616633</v>
      </c>
      <c r="T96" s="5">
        <f t="shared" ref="T96:V96" si="188">IFERROR(MROUND(Q96,0.2),-MROUND(ABS(Q96),0.2))</f>
        <v>0.60000000000000009</v>
      </c>
      <c r="U96" s="5">
        <f t="shared" si="188"/>
        <v>0</v>
      </c>
      <c r="V96" s="5">
        <f t="shared" si="188"/>
        <v>0.60000000000000009</v>
      </c>
      <c r="W96" s="2">
        <f t="shared" ref="W96:Y96" si="189">Q96^2</f>
        <v>0.38841533489162183</v>
      </c>
      <c r="X96" s="2">
        <f t="shared" si="189"/>
        <v>0</v>
      </c>
      <c r="Y96" s="2">
        <f t="shared" si="189"/>
        <v>0.38841533489162183</v>
      </c>
    </row>
    <row r="97" spans="1:25" x14ac:dyDescent="0.7">
      <c r="A97" t="s">
        <v>56</v>
      </c>
      <c r="B97" s="3">
        <v>0.64315972222222217</v>
      </c>
      <c r="C97" t="s">
        <v>57</v>
      </c>
      <c r="D97" s="2">
        <v>37.632978333333334</v>
      </c>
      <c r="E97" t="s">
        <v>58</v>
      </c>
      <c r="F97" s="2">
        <v>141.01287333333332</v>
      </c>
      <c r="G97" t="s">
        <v>59</v>
      </c>
      <c r="H97" s="4">
        <v>0.37040000000000006</v>
      </c>
      <c r="I97" s="5">
        <v>90.6</v>
      </c>
      <c r="J97">
        <v>170220</v>
      </c>
      <c r="M97" t="s">
        <v>57</v>
      </c>
      <c r="N97" t="s">
        <v>91</v>
      </c>
      <c r="O97" s="2">
        <v>3.9285714379388992E-6</v>
      </c>
      <c r="P97" s="2">
        <v>1.3095238102778239E-6</v>
      </c>
      <c r="Q97" s="2">
        <v>0.4355355439701365</v>
      </c>
      <c r="R97" s="2">
        <v>9.5041647553443909E-2</v>
      </c>
      <c r="S97" s="2">
        <v>0.4457848410576839</v>
      </c>
      <c r="T97" s="5">
        <f t="shared" ref="T97:V97" si="190">IFERROR(MROUND(Q97,0.2),-MROUND(ABS(Q97),0.2))</f>
        <v>0.4</v>
      </c>
      <c r="U97" s="5">
        <f t="shared" si="190"/>
        <v>0</v>
      </c>
      <c r="V97" s="5">
        <f t="shared" si="190"/>
        <v>0.4</v>
      </c>
      <c r="W97" s="2">
        <f t="shared" ref="W97:Y97" si="191">Q97^2</f>
        <v>0.18969121006136269</v>
      </c>
      <c r="X97" s="2">
        <f t="shared" si="191"/>
        <v>9.0329147696730505E-3</v>
      </c>
      <c r="Y97" s="2">
        <f t="shared" si="191"/>
        <v>0.1987241245168245</v>
      </c>
    </row>
    <row r="98" spans="1:25" x14ac:dyDescent="0.7">
      <c r="A98" t="s">
        <v>56</v>
      </c>
      <c r="B98" s="3">
        <v>0.64377314814814812</v>
      </c>
      <c r="C98" t="s">
        <v>57</v>
      </c>
      <c r="D98" s="2">
        <v>37.632966666666668</v>
      </c>
      <c r="E98" t="s">
        <v>58</v>
      </c>
      <c r="F98" s="2">
        <v>141.01292833333335</v>
      </c>
      <c r="G98" t="s">
        <v>59</v>
      </c>
      <c r="H98" s="4">
        <v>0.37040000000000006</v>
      </c>
      <c r="I98" s="5">
        <v>83.6</v>
      </c>
      <c r="J98">
        <v>170220</v>
      </c>
      <c r="M98" t="s">
        <v>57</v>
      </c>
      <c r="N98" t="s">
        <v>61</v>
      </c>
      <c r="O98" s="2">
        <v>7.7777777747201071E-6</v>
      </c>
      <c r="P98" s="2">
        <v>3.2222222330346995E-6</v>
      </c>
      <c r="Q98" s="2">
        <v>0.86587061722602243</v>
      </c>
      <c r="R98" s="2">
        <v>0.28512494266033173</v>
      </c>
      <c r="S98" s="2">
        <v>0.91160745882816907</v>
      </c>
      <c r="T98" s="5">
        <f t="shared" ref="T98:V98" si="192">IFERROR(MROUND(Q98,0.2),-MROUND(ABS(Q98),0.2))</f>
        <v>0.8</v>
      </c>
      <c r="U98" s="5">
        <f t="shared" si="192"/>
        <v>0.2</v>
      </c>
      <c r="V98" s="5">
        <f t="shared" si="192"/>
        <v>1</v>
      </c>
      <c r="W98" s="2">
        <f t="shared" ref="W98:Y98" si="193">Q98^2</f>
        <v>0.74973192577537306</v>
      </c>
      <c r="X98" s="2">
        <f t="shared" si="193"/>
        <v>8.1296232927057455E-2</v>
      </c>
      <c r="Y98" s="2">
        <f t="shared" si="193"/>
        <v>0.83102815899115201</v>
      </c>
    </row>
    <row r="99" spans="1:25" x14ac:dyDescent="0.7">
      <c r="A99" t="s">
        <v>56</v>
      </c>
      <c r="B99" s="3">
        <v>0.64379629629629631</v>
      </c>
      <c r="C99" t="s">
        <v>57</v>
      </c>
      <c r="D99" s="2">
        <v>37.632964999999999</v>
      </c>
      <c r="E99" t="s">
        <v>58</v>
      </c>
      <c r="F99" s="2">
        <v>141.012925</v>
      </c>
      <c r="G99" t="s">
        <v>59</v>
      </c>
      <c r="H99" s="4">
        <v>0</v>
      </c>
      <c r="I99" s="5">
        <v>83.6</v>
      </c>
      <c r="J99">
        <v>170220</v>
      </c>
      <c r="M99" t="s">
        <v>57</v>
      </c>
      <c r="N99" t="s">
        <v>61</v>
      </c>
      <c r="O99" s="2">
        <v>6.1111111051559419E-6</v>
      </c>
      <c r="P99" s="2">
        <v>-1.1111112030448567E-7</v>
      </c>
      <c r="Q99" s="2">
        <v>0.67873312348330228</v>
      </c>
      <c r="R99" s="2">
        <v>0</v>
      </c>
      <c r="S99" s="2">
        <v>0.67873312348330228</v>
      </c>
      <c r="T99" s="5">
        <f t="shared" ref="T99:V99" si="194">IFERROR(MROUND(Q99,0.2),-MROUND(ABS(Q99),0.2))</f>
        <v>0.60000000000000009</v>
      </c>
      <c r="U99" s="5">
        <f t="shared" si="194"/>
        <v>0</v>
      </c>
      <c r="V99" s="5">
        <f t="shared" si="194"/>
        <v>0.60000000000000009</v>
      </c>
      <c r="W99" s="2">
        <f t="shared" ref="W99:Y99" si="195">Q99^2</f>
        <v>0.46067865291339966</v>
      </c>
      <c r="X99" s="2">
        <f t="shared" si="195"/>
        <v>0</v>
      </c>
      <c r="Y99" s="2">
        <f t="shared" si="195"/>
        <v>0.46067865291339966</v>
      </c>
    </row>
    <row r="100" spans="1:25" x14ac:dyDescent="0.7">
      <c r="A100" t="s">
        <v>56</v>
      </c>
      <c r="B100" s="3">
        <v>0.64384259259259258</v>
      </c>
      <c r="C100" t="s">
        <v>57</v>
      </c>
      <c r="D100" s="2">
        <v>37.632961666666667</v>
      </c>
      <c r="E100" t="s">
        <v>58</v>
      </c>
      <c r="F100" s="2">
        <v>141.012925</v>
      </c>
      <c r="G100" t="s">
        <v>59</v>
      </c>
      <c r="H100" s="4">
        <v>0</v>
      </c>
      <c r="I100" s="5">
        <v>83.6</v>
      </c>
      <c r="J100">
        <v>170220</v>
      </c>
      <c r="M100" t="s">
        <v>57</v>
      </c>
      <c r="N100" t="s">
        <v>63</v>
      </c>
      <c r="O100" s="2">
        <v>2.7777777731330389E-6</v>
      </c>
      <c r="P100" s="2">
        <v>-1.1111112030448567E-7</v>
      </c>
      <c r="Q100" s="2">
        <v>0.31521748439906938</v>
      </c>
      <c r="R100" s="2">
        <v>0</v>
      </c>
      <c r="S100" s="2">
        <v>0.31521748439906938</v>
      </c>
      <c r="T100" s="5">
        <f t="shared" ref="T100:V100" si="196">IFERROR(MROUND(Q100,0.2),-MROUND(ABS(Q100),0.2))</f>
        <v>0.4</v>
      </c>
      <c r="U100" s="5">
        <f t="shared" si="196"/>
        <v>0</v>
      </c>
      <c r="V100" s="5">
        <f t="shared" si="196"/>
        <v>0.4</v>
      </c>
      <c r="W100" s="2">
        <f t="shared" ref="W100:Y100" si="197">Q100^2</f>
        <v>9.9362062470877546E-2</v>
      </c>
      <c r="X100" s="2">
        <f t="shared" si="197"/>
        <v>0</v>
      </c>
      <c r="Y100" s="2">
        <f t="shared" si="197"/>
        <v>9.9362062470877546E-2</v>
      </c>
    </row>
    <row r="101" spans="1:25" x14ac:dyDescent="0.7">
      <c r="A101" t="s">
        <v>56</v>
      </c>
      <c r="B101" s="3">
        <v>0.64385416666666673</v>
      </c>
      <c r="C101" t="s">
        <v>57</v>
      </c>
      <c r="D101" s="2">
        <v>37.632960000000004</v>
      </c>
      <c r="E101" t="s">
        <v>58</v>
      </c>
      <c r="F101" s="2">
        <v>141.012925</v>
      </c>
      <c r="G101" t="s">
        <v>59</v>
      </c>
      <c r="H101" s="4">
        <v>0</v>
      </c>
      <c r="I101" s="5">
        <v>83.6</v>
      </c>
      <c r="J101">
        <v>170220</v>
      </c>
      <c r="M101" t="s">
        <v>57</v>
      </c>
      <c r="N101" t="s">
        <v>63</v>
      </c>
      <c r="O101" s="2">
        <v>1.111111110674301E-6</v>
      </c>
      <c r="P101" s="2">
        <v>-1.1111112030448567E-7</v>
      </c>
      <c r="Q101" s="2">
        <v>0.13440918607627972</v>
      </c>
      <c r="R101" s="2">
        <v>0</v>
      </c>
      <c r="S101" s="2">
        <v>0.13440918607627972</v>
      </c>
      <c r="T101" s="5">
        <f t="shared" ref="T101:V101" si="198">IFERROR(MROUND(Q101,0.2),-MROUND(ABS(Q101),0.2))</f>
        <v>0.2</v>
      </c>
      <c r="U101" s="5">
        <f t="shared" si="198"/>
        <v>0</v>
      </c>
      <c r="V101" s="5">
        <f t="shared" si="198"/>
        <v>0.2</v>
      </c>
      <c r="W101" s="2">
        <f t="shared" ref="W101:Y101" si="199">Q101^2</f>
        <v>1.8065829301687986E-2</v>
      </c>
      <c r="X101" s="2">
        <f t="shared" si="199"/>
        <v>0</v>
      </c>
      <c r="Y101" s="2">
        <f t="shared" si="199"/>
        <v>1.8065829301687986E-2</v>
      </c>
    </row>
    <row r="102" spans="1:25" x14ac:dyDescent="0.7">
      <c r="A102" t="s">
        <v>56</v>
      </c>
      <c r="B102" s="3">
        <v>0.64386574074074077</v>
      </c>
      <c r="C102" t="s">
        <v>57</v>
      </c>
      <c r="D102" s="2">
        <v>37.632958333333335</v>
      </c>
      <c r="E102" t="s">
        <v>58</v>
      </c>
      <c r="F102" s="2">
        <v>141.01292666666669</v>
      </c>
      <c r="G102" t="s">
        <v>59</v>
      </c>
      <c r="H102" s="4">
        <v>0</v>
      </c>
      <c r="I102" s="5">
        <v>83.6</v>
      </c>
      <c r="J102">
        <v>170220</v>
      </c>
      <c r="M102" t="s">
        <v>57</v>
      </c>
      <c r="N102" t="s">
        <v>90</v>
      </c>
      <c r="O102" s="2">
        <v>-5.5555555888986419E-7</v>
      </c>
      <c r="P102" s="2">
        <v>1.5555555705759616E-6</v>
      </c>
      <c r="Q102" s="2">
        <v>0</v>
      </c>
      <c r="R102" s="2">
        <v>0.13440918607627972</v>
      </c>
      <c r="S102" s="2">
        <v>0.13440918607627972</v>
      </c>
      <c r="T102" s="5">
        <f t="shared" ref="T102:V102" si="200">IFERROR(MROUND(Q102,0.2),-MROUND(ABS(Q102),0.2))</f>
        <v>0</v>
      </c>
      <c r="U102" s="5">
        <f t="shared" si="200"/>
        <v>0.2</v>
      </c>
      <c r="V102" s="5">
        <f t="shared" si="200"/>
        <v>0.2</v>
      </c>
      <c r="W102" s="2">
        <f t="shared" ref="W102:Y102" si="201">Q102^2</f>
        <v>0</v>
      </c>
      <c r="X102" s="2">
        <f t="shared" si="201"/>
        <v>1.8065829301687986E-2</v>
      </c>
      <c r="Y102" s="2">
        <f t="shared" si="201"/>
        <v>1.8065829301687986E-2</v>
      </c>
    </row>
    <row r="103" spans="1:25" x14ac:dyDescent="0.7">
      <c r="A103" t="s">
        <v>56</v>
      </c>
      <c r="B103" s="3">
        <v>0.64392361111111118</v>
      </c>
      <c r="C103" t="s">
        <v>57</v>
      </c>
      <c r="D103" s="2">
        <v>37.632960000000004</v>
      </c>
      <c r="E103" t="s">
        <v>58</v>
      </c>
      <c r="F103" s="2">
        <v>141.01292333333333</v>
      </c>
      <c r="G103" t="s">
        <v>59</v>
      </c>
      <c r="H103" s="4">
        <v>0.18520000000000003</v>
      </c>
      <c r="I103" s="5">
        <v>83.6</v>
      </c>
      <c r="J103">
        <v>170220</v>
      </c>
      <c r="M103" t="s">
        <v>57</v>
      </c>
      <c r="N103" t="s">
        <v>60</v>
      </c>
      <c r="O103" s="2">
        <v>1.111111110674301E-6</v>
      </c>
      <c r="P103" s="2">
        <v>-1.7777777827632235E-6</v>
      </c>
      <c r="Q103" s="2">
        <v>0.13440918607627972</v>
      </c>
      <c r="R103" s="2">
        <v>-0.1646169622754976</v>
      </c>
      <c r="S103" s="2">
        <v>0.19008329510688782</v>
      </c>
      <c r="T103" s="5">
        <f t="shared" ref="T103:V103" si="202">IFERROR(MROUND(Q103,0.2),-MROUND(ABS(Q103),0.2))</f>
        <v>0.2</v>
      </c>
      <c r="U103" s="5">
        <f t="shared" si="202"/>
        <v>-0.2</v>
      </c>
      <c r="V103" s="5">
        <f t="shared" si="202"/>
        <v>0.2</v>
      </c>
      <c r="W103" s="2">
        <f t="shared" ref="W103:Y103" si="203">Q103^2</f>
        <v>1.8065829301687986E-2</v>
      </c>
      <c r="X103" s="2">
        <f t="shared" si="203"/>
        <v>2.7098744268812602E-2</v>
      </c>
      <c r="Y103" s="2">
        <f t="shared" si="203"/>
        <v>3.6131659078692202E-2</v>
      </c>
    </row>
    <row r="104" spans="1:25" x14ac:dyDescent="0.7">
      <c r="A104" t="s">
        <v>56</v>
      </c>
      <c r="B104" s="3">
        <v>0.6439583333333333</v>
      </c>
      <c r="C104" t="s">
        <v>57</v>
      </c>
      <c r="D104" s="2">
        <v>37.632960000000004</v>
      </c>
      <c r="E104" t="s">
        <v>58</v>
      </c>
      <c r="F104" s="2">
        <v>141.01291833333335</v>
      </c>
      <c r="G104" t="s">
        <v>59</v>
      </c>
      <c r="H104" s="4">
        <v>0</v>
      </c>
      <c r="I104" s="5">
        <v>83.6</v>
      </c>
      <c r="J104">
        <v>170220</v>
      </c>
      <c r="M104" t="s">
        <v>57</v>
      </c>
      <c r="N104" t="s">
        <v>65</v>
      </c>
      <c r="O104" s="2">
        <v>1.111111110674301E-6</v>
      </c>
      <c r="P104" s="2">
        <v>-6.7777777701394371E-6</v>
      </c>
      <c r="Q104" s="2">
        <v>0.13440918607627972</v>
      </c>
      <c r="R104" s="2">
        <v>-0.60109615789595305</v>
      </c>
      <c r="S104" s="2">
        <v>0.60856347612988437</v>
      </c>
      <c r="T104" s="5">
        <f t="shared" ref="T104:V104" si="204">IFERROR(MROUND(Q104,0.2),-MROUND(ABS(Q104),0.2))</f>
        <v>0.2</v>
      </c>
      <c r="U104" s="5">
        <f t="shared" si="204"/>
        <v>-0.60000000000000009</v>
      </c>
      <c r="V104" s="5">
        <f t="shared" si="204"/>
        <v>0.60000000000000009</v>
      </c>
      <c r="W104" s="2">
        <f t="shared" ref="W104:Y104" si="205">Q104^2</f>
        <v>1.8065829301687986E-2</v>
      </c>
      <c r="X104" s="2">
        <f t="shared" si="205"/>
        <v>0.36131659103727654</v>
      </c>
      <c r="Y104" s="2">
        <f t="shared" si="205"/>
        <v>0.37034950447928833</v>
      </c>
    </row>
    <row r="105" spans="1:25" x14ac:dyDescent="0.7">
      <c r="A105" t="s">
        <v>56</v>
      </c>
      <c r="B105" s="3">
        <v>0.64400462962962968</v>
      </c>
      <c r="C105" t="s">
        <v>57</v>
      </c>
      <c r="D105" s="2">
        <v>37.632958333333335</v>
      </c>
      <c r="E105" t="s">
        <v>58</v>
      </c>
      <c r="F105" s="2">
        <v>141.01292000000001</v>
      </c>
      <c r="G105" t="s">
        <v>59</v>
      </c>
      <c r="H105" s="4">
        <v>0</v>
      </c>
      <c r="I105" s="5">
        <v>83.6</v>
      </c>
      <c r="J105">
        <v>170220</v>
      </c>
      <c r="M105" t="s">
        <v>57</v>
      </c>
      <c r="N105" t="s">
        <v>60</v>
      </c>
      <c r="O105" s="2">
        <v>-5.5555555888986419E-7</v>
      </c>
      <c r="P105" s="2">
        <v>-5.1111111076806992E-6</v>
      </c>
      <c r="Q105" s="2">
        <v>0</v>
      </c>
      <c r="R105" s="2">
        <v>-0.45580372870596908</v>
      </c>
      <c r="S105" s="2">
        <v>0.45580372870596908</v>
      </c>
      <c r="T105" s="5">
        <f t="shared" ref="T105:V105" si="206">IFERROR(MROUND(Q105,0.2),-MROUND(ABS(Q105),0.2))</f>
        <v>0</v>
      </c>
      <c r="U105" s="5">
        <f t="shared" si="206"/>
        <v>-0.4</v>
      </c>
      <c r="V105" s="5">
        <f t="shared" si="206"/>
        <v>0.4</v>
      </c>
      <c r="W105" s="2">
        <f t="shared" ref="W105:Y105" si="207">Q105^2</f>
        <v>0</v>
      </c>
      <c r="X105" s="2">
        <f t="shared" si="207"/>
        <v>0.20775703910226467</v>
      </c>
      <c r="Y105" s="2">
        <f t="shared" si="207"/>
        <v>0.20775703910226467</v>
      </c>
    </row>
    <row r="106" spans="1:25" x14ac:dyDescent="0.7">
      <c r="A106" t="s">
        <v>56</v>
      </c>
      <c r="B106" s="3">
        <v>0.64401620370370372</v>
      </c>
      <c r="C106" t="s">
        <v>57</v>
      </c>
      <c r="D106" s="2">
        <v>37.632956666666672</v>
      </c>
      <c r="E106" t="s">
        <v>58</v>
      </c>
      <c r="F106" s="2">
        <v>141.01292166666664</v>
      </c>
      <c r="G106" t="s">
        <v>59</v>
      </c>
      <c r="H106" s="4">
        <v>0</v>
      </c>
      <c r="I106" s="5">
        <v>83.6</v>
      </c>
      <c r="J106">
        <v>170220</v>
      </c>
      <c r="M106" t="s">
        <v>57</v>
      </c>
      <c r="N106" t="s">
        <v>62</v>
      </c>
      <c r="O106" s="2">
        <v>-2.222222221348602E-6</v>
      </c>
      <c r="P106" s="2">
        <v>-3.4444444736436708E-6</v>
      </c>
      <c r="Q106" s="2">
        <v>-0.25145656374481296</v>
      </c>
      <c r="R106" s="2">
        <v>-0.30054807823986107</v>
      </c>
      <c r="S106" s="2">
        <v>0.3918667507223268</v>
      </c>
      <c r="T106" s="5">
        <f t="shared" ref="T106:V106" si="208">IFERROR(MROUND(Q106,0.2),-MROUND(ABS(Q106),0.2))</f>
        <v>-0.2</v>
      </c>
      <c r="U106" s="5">
        <f t="shared" si="208"/>
        <v>-0.4</v>
      </c>
      <c r="V106" s="5">
        <f t="shared" si="208"/>
        <v>0.4</v>
      </c>
      <c r="W106" s="2">
        <f t="shared" ref="W106:Y106" si="209">Q106^2</f>
        <v>6.3230403450349179E-2</v>
      </c>
      <c r="X106" s="2">
        <f t="shared" si="209"/>
        <v>9.0329147333673657E-2</v>
      </c>
      <c r="Y106" s="2">
        <f t="shared" si="209"/>
        <v>0.1535595503216742</v>
      </c>
    </row>
    <row r="107" spans="1:25" x14ac:dyDescent="0.7">
      <c r="A107" t="s">
        <v>56</v>
      </c>
      <c r="B107" s="3">
        <v>0.64402777777777775</v>
      </c>
      <c r="C107" t="s">
        <v>57</v>
      </c>
      <c r="D107" s="2">
        <v>37.632955000000003</v>
      </c>
      <c r="E107" t="s">
        <v>58</v>
      </c>
      <c r="F107" s="2">
        <v>141.01292333333333</v>
      </c>
      <c r="G107" t="s">
        <v>59</v>
      </c>
      <c r="H107" s="4">
        <v>0</v>
      </c>
      <c r="I107" s="5">
        <v>83.6</v>
      </c>
      <c r="J107">
        <v>170220</v>
      </c>
      <c r="M107" t="s">
        <v>57</v>
      </c>
      <c r="N107" t="s">
        <v>69</v>
      </c>
      <c r="O107" s="2">
        <v>-3.8888888909127672E-6</v>
      </c>
      <c r="P107" s="2">
        <v>-1.7777777827632235E-6</v>
      </c>
      <c r="Q107" s="2">
        <v>-0.4355355439701365</v>
      </c>
      <c r="R107" s="2">
        <v>-0.1646169622754976</v>
      </c>
      <c r="S107" s="2">
        <v>0.45580372870596908</v>
      </c>
      <c r="T107" s="5">
        <f t="shared" ref="T107:V107" si="210">IFERROR(MROUND(Q107,0.2),-MROUND(ABS(Q107),0.2))</f>
        <v>-0.4</v>
      </c>
      <c r="U107" s="5">
        <f t="shared" si="210"/>
        <v>-0.2</v>
      </c>
      <c r="V107" s="5">
        <f t="shared" si="210"/>
        <v>0.4</v>
      </c>
      <c r="W107" s="2">
        <f t="shared" ref="W107:Y107" si="211">Q107^2</f>
        <v>0.18969121006136269</v>
      </c>
      <c r="X107" s="2">
        <f t="shared" si="211"/>
        <v>2.7098744268812602E-2</v>
      </c>
      <c r="Y107" s="2">
        <f t="shared" si="211"/>
        <v>0.20775703910226467</v>
      </c>
    </row>
    <row r="108" spans="1:25" x14ac:dyDescent="0.7">
      <c r="A108" t="s">
        <v>56</v>
      </c>
      <c r="B108" s="3">
        <v>0.64403935185185179</v>
      </c>
      <c r="C108" t="s">
        <v>57</v>
      </c>
      <c r="D108" s="2">
        <v>37.632956666666672</v>
      </c>
      <c r="E108" t="s">
        <v>58</v>
      </c>
      <c r="F108" s="2">
        <v>141.012925</v>
      </c>
      <c r="G108" t="s">
        <v>59</v>
      </c>
      <c r="H108" s="4">
        <v>0</v>
      </c>
      <c r="I108" s="5">
        <v>83.6</v>
      </c>
      <c r="J108">
        <v>170220</v>
      </c>
      <c r="M108" t="s">
        <v>57</v>
      </c>
      <c r="N108" t="s">
        <v>62</v>
      </c>
      <c r="O108" s="2">
        <v>-2.222222221348602E-6</v>
      </c>
      <c r="P108" s="2">
        <v>-1.1111112030448567E-7</v>
      </c>
      <c r="Q108" s="2">
        <v>-0.25145656374481296</v>
      </c>
      <c r="R108" s="2">
        <v>0</v>
      </c>
      <c r="S108" s="2">
        <v>0.25145656374481296</v>
      </c>
      <c r="T108" s="5">
        <f t="shared" ref="T108:V108" si="212">IFERROR(MROUND(Q108,0.2),-MROUND(ABS(Q108),0.2))</f>
        <v>-0.2</v>
      </c>
      <c r="U108" s="5">
        <f t="shared" si="212"/>
        <v>0</v>
      </c>
      <c r="V108" s="5">
        <f t="shared" si="212"/>
        <v>0.2</v>
      </c>
      <c r="W108" s="2">
        <f t="shared" ref="W108:Y108" si="213">Q108^2</f>
        <v>6.3230403450349179E-2</v>
      </c>
      <c r="X108" s="2">
        <f t="shared" si="213"/>
        <v>0</v>
      </c>
      <c r="Y108" s="2">
        <f t="shared" si="213"/>
        <v>6.3230403450349179E-2</v>
      </c>
    </row>
    <row r="109" spans="1:25" x14ac:dyDescent="0.7">
      <c r="A109" t="s">
        <v>56</v>
      </c>
      <c r="B109" s="3">
        <v>0.64405092592592594</v>
      </c>
      <c r="C109" t="s">
        <v>57</v>
      </c>
      <c r="D109" s="2">
        <v>37.632956666666672</v>
      </c>
      <c r="E109" t="s">
        <v>58</v>
      </c>
      <c r="F109" s="2">
        <v>141.01292666666669</v>
      </c>
      <c r="G109" t="s">
        <v>59</v>
      </c>
      <c r="H109" s="4">
        <v>0</v>
      </c>
      <c r="I109" s="5">
        <v>83.6</v>
      </c>
      <c r="J109">
        <v>170220</v>
      </c>
      <c r="M109" t="s">
        <v>57</v>
      </c>
      <c r="N109" t="s">
        <v>62</v>
      </c>
      <c r="O109" s="2">
        <v>-2.222222221348602E-6</v>
      </c>
      <c r="P109" s="2">
        <v>1.5555555705759616E-6</v>
      </c>
      <c r="Q109" s="2">
        <v>-0.25145656374481296</v>
      </c>
      <c r="R109" s="2">
        <v>0.13440918607627972</v>
      </c>
      <c r="S109" s="2">
        <v>0.26881837356879035</v>
      </c>
      <c r="T109" s="5">
        <f t="shared" ref="T109:V109" si="214">IFERROR(MROUND(Q109,0.2),-MROUND(ABS(Q109),0.2))</f>
        <v>-0.2</v>
      </c>
      <c r="U109" s="5">
        <f t="shared" si="214"/>
        <v>0.2</v>
      </c>
      <c r="V109" s="5">
        <f t="shared" si="214"/>
        <v>0.2</v>
      </c>
      <c r="W109" s="2">
        <f t="shared" ref="W109:Y109" si="215">Q109^2</f>
        <v>6.3230403450349179E-2</v>
      </c>
      <c r="X109" s="2">
        <f t="shared" si="215"/>
        <v>1.8065829301687986E-2</v>
      </c>
      <c r="Y109" s="2">
        <f t="shared" si="215"/>
        <v>7.2263317968169719E-2</v>
      </c>
    </row>
    <row r="110" spans="1:25" x14ac:dyDescent="0.7">
      <c r="A110" t="s">
        <v>56</v>
      </c>
      <c r="B110" s="3">
        <v>0.64406249999999998</v>
      </c>
      <c r="C110" t="s">
        <v>57</v>
      </c>
      <c r="D110" s="2">
        <v>37.632956666666672</v>
      </c>
      <c r="E110" t="s">
        <v>58</v>
      </c>
      <c r="F110" s="2">
        <v>141.01292833333335</v>
      </c>
      <c r="G110" t="s">
        <v>59</v>
      </c>
      <c r="H110" s="4">
        <v>0</v>
      </c>
      <c r="I110" s="5">
        <v>83.6</v>
      </c>
      <c r="J110">
        <v>170220</v>
      </c>
      <c r="M110" t="s">
        <v>57</v>
      </c>
      <c r="N110" t="s">
        <v>62</v>
      </c>
      <c r="O110" s="2">
        <v>-2.222222221348602E-6</v>
      </c>
      <c r="P110" s="2">
        <v>3.2222222330346995E-6</v>
      </c>
      <c r="Q110" s="2">
        <v>-0.25145656374481296</v>
      </c>
      <c r="R110" s="2">
        <v>0.28512494266033173</v>
      </c>
      <c r="S110" s="2">
        <v>0.36809471724311571</v>
      </c>
      <c r="T110" s="5">
        <f t="shared" ref="T110:V110" si="216">IFERROR(MROUND(Q110,0.2),-MROUND(ABS(Q110),0.2))</f>
        <v>-0.2</v>
      </c>
      <c r="U110" s="5">
        <f t="shared" si="216"/>
        <v>0.2</v>
      </c>
      <c r="V110" s="5">
        <f t="shared" si="216"/>
        <v>0.4</v>
      </c>
      <c r="W110" s="2">
        <f t="shared" ref="W110:Y110" si="217">Q110^2</f>
        <v>6.3230403450349179E-2</v>
      </c>
      <c r="X110" s="2">
        <f t="shared" si="217"/>
        <v>8.1296232927057455E-2</v>
      </c>
      <c r="Y110" s="2">
        <f t="shared" si="217"/>
        <v>0.13549372086228931</v>
      </c>
    </row>
    <row r="111" spans="1:25" x14ac:dyDescent="0.7">
      <c r="A111" t="s">
        <v>56</v>
      </c>
      <c r="B111" s="3">
        <v>0.64407407407407413</v>
      </c>
      <c r="C111" t="s">
        <v>57</v>
      </c>
      <c r="D111" s="2">
        <v>37.632955000000003</v>
      </c>
      <c r="E111" t="s">
        <v>58</v>
      </c>
      <c r="F111" s="2">
        <v>141.01292999999998</v>
      </c>
      <c r="G111" t="s">
        <v>59</v>
      </c>
      <c r="H111" s="4">
        <v>0.37040000000000006</v>
      </c>
      <c r="I111" s="5">
        <v>83.6</v>
      </c>
      <c r="J111">
        <v>170220</v>
      </c>
      <c r="M111" t="s">
        <v>57</v>
      </c>
      <c r="N111" t="s">
        <v>91</v>
      </c>
      <c r="O111" s="2">
        <v>-3.8888888909127672E-6</v>
      </c>
      <c r="P111" s="2">
        <v>4.8888888670717279E-6</v>
      </c>
      <c r="Q111" s="2">
        <v>-0.4355355439701365</v>
      </c>
      <c r="R111" s="2">
        <v>0.4355355439701365</v>
      </c>
      <c r="S111" s="2">
        <v>0.60856347612988437</v>
      </c>
      <c r="T111" s="5">
        <f t="shared" ref="T111:V111" si="218">IFERROR(MROUND(Q111,0.2),-MROUND(ABS(Q111),0.2))</f>
        <v>-0.4</v>
      </c>
      <c r="U111" s="5">
        <f t="shared" si="218"/>
        <v>0.4</v>
      </c>
      <c r="V111" s="5">
        <f t="shared" si="218"/>
        <v>0.60000000000000009</v>
      </c>
      <c r="W111" s="2">
        <f t="shared" ref="W111:Y111" si="219">Q111^2</f>
        <v>0.18969121006136269</v>
      </c>
      <c r="X111" s="2">
        <f t="shared" si="219"/>
        <v>0.18969121006136269</v>
      </c>
      <c r="Y111" s="2">
        <f t="shared" si="219"/>
        <v>0.37034950447928833</v>
      </c>
    </row>
    <row r="112" spans="1:25" x14ac:dyDescent="0.7">
      <c r="A112" t="s">
        <v>56</v>
      </c>
      <c r="B112" s="3">
        <v>0.64408564814814817</v>
      </c>
      <c r="C112" t="s">
        <v>57</v>
      </c>
      <c r="D112" s="2">
        <v>37.632956666666672</v>
      </c>
      <c r="E112" t="s">
        <v>58</v>
      </c>
      <c r="F112" s="2">
        <v>141.01292999999998</v>
      </c>
      <c r="G112" t="s">
        <v>59</v>
      </c>
      <c r="H112" s="4">
        <v>0</v>
      </c>
      <c r="I112" s="5">
        <v>83.6</v>
      </c>
      <c r="J112">
        <v>170220</v>
      </c>
      <c r="M112" t="s">
        <v>57</v>
      </c>
      <c r="N112" t="s">
        <v>60</v>
      </c>
      <c r="O112" s="2">
        <v>-2.222222221348602E-6</v>
      </c>
      <c r="P112" s="2">
        <v>4.8888888670717279E-6</v>
      </c>
      <c r="Q112" s="2">
        <v>-0.25145656374481296</v>
      </c>
      <c r="R112" s="2">
        <v>0.4355355439701365</v>
      </c>
      <c r="S112" s="2">
        <v>0.49385088682649281</v>
      </c>
      <c r="T112" s="5">
        <f t="shared" ref="T112:V112" si="220">IFERROR(MROUND(Q112,0.2),-MROUND(ABS(Q112),0.2))</f>
        <v>-0.2</v>
      </c>
      <c r="U112" s="5">
        <f t="shared" si="220"/>
        <v>0.4</v>
      </c>
      <c r="V112" s="5">
        <f t="shared" si="220"/>
        <v>0.4</v>
      </c>
      <c r="W112" s="2">
        <f t="shared" ref="W112:Y112" si="221">Q112^2</f>
        <v>6.3230403450349179E-2</v>
      </c>
      <c r="X112" s="2">
        <f t="shared" si="221"/>
        <v>0.18969121006136269</v>
      </c>
      <c r="Y112" s="2">
        <f t="shared" si="221"/>
        <v>0.2438886984193134</v>
      </c>
    </row>
    <row r="113" spans="1:25" x14ac:dyDescent="0.7">
      <c r="A113" t="s">
        <v>56</v>
      </c>
      <c r="B113" s="3">
        <v>0.64479166666666665</v>
      </c>
      <c r="C113" t="s">
        <v>57</v>
      </c>
      <c r="D113" s="2">
        <v>37.63297</v>
      </c>
      <c r="E113" t="s">
        <v>58</v>
      </c>
      <c r="F113" s="2">
        <v>141.01298166666666</v>
      </c>
      <c r="G113" t="s">
        <v>59</v>
      </c>
      <c r="H113" s="4">
        <v>0</v>
      </c>
      <c r="I113" s="5">
        <v>100</v>
      </c>
      <c r="J113">
        <v>170220</v>
      </c>
      <c r="M113" t="s">
        <v>57</v>
      </c>
      <c r="N113" t="s">
        <v>72</v>
      </c>
      <c r="O113" s="2">
        <v>5.5769230655755564E-6</v>
      </c>
      <c r="P113" s="2">
        <v>6.0897435787410359E-6</v>
      </c>
      <c r="Q113" s="2">
        <v>0.61594027313272059</v>
      </c>
      <c r="R113" s="2">
        <v>0.52916949765318511</v>
      </c>
      <c r="S113" s="2">
        <v>0.81757916556175747</v>
      </c>
      <c r="T113" s="5">
        <f t="shared" ref="T113:V113" si="222">IFERROR(MROUND(Q113,0.2),-MROUND(ABS(Q113),0.2))</f>
        <v>0.60000000000000009</v>
      </c>
      <c r="U113" s="5">
        <f t="shared" si="222"/>
        <v>0.60000000000000009</v>
      </c>
      <c r="V113" s="5">
        <f t="shared" si="222"/>
        <v>0.8</v>
      </c>
      <c r="W113" s="2">
        <f t="shared" ref="W113:Y113" si="223">Q113^2</f>
        <v>0.37938242006681044</v>
      </c>
      <c r="X113" s="2">
        <f t="shared" si="223"/>
        <v>0.2800203572465243</v>
      </c>
      <c r="Y113" s="2">
        <f t="shared" si="223"/>
        <v>0.66843569196065966</v>
      </c>
    </row>
    <row r="114" spans="1:25" x14ac:dyDescent="0.7">
      <c r="A114" t="s">
        <v>56</v>
      </c>
      <c r="B114" s="3">
        <v>0.6448032407407408</v>
      </c>
      <c r="C114" t="s">
        <v>57</v>
      </c>
      <c r="D114" s="2">
        <v>37.63297</v>
      </c>
      <c r="E114" t="s">
        <v>58</v>
      </c>
      <c r="F114" s="2">
        <v>141.01298</v>
      </c>
      <c r="G114" t="s">
        <v>59</v>
      </c>
      <c r="H114" s="4">
        <v>0</v>
      </c>
      <c r="I114" s="5">
        <v>100</v>
      </c>
      <c r="J114">
        <v>170220</v>
      </c>
      <c r="M114" t="s">
        <v>57</v>
      </c>
      <c r="N114" t="s">
        <v>72</v>
      </c>
      <c r="O114" s="2">
        <v>5.5769230655755564E-6</v>
      </c>
      <c r="P114" s="2">
        <v>4.423076916282298E-6</v>
      </c>
      <c r="Q114" s="2">
        <v>0.61594027313272059</v>
      </c>
      <c r="R114" s="2">
        <v>0.38016659021377563</v>
      </c>
      <c r="S114" s="2">
        <v>0.73002874646870386</v>
      </c>
      <c r="T114" s="5">
        <f t="shared" ref="T114:V114" si="224">IFERROR(MROUND(Q114,0.2),-MROUND(ABS(Q114),0.2))</f>
        <v>0.60000000000000009</v>
      </c>
      <c r="U114" s="5">
        <f t="shared" si="224"/>
        <v>0.4</v>
      </c>
      <c r="V114" s="5">
        <f t="shared" si="224"/>
        <v>0.8</v>
      </c>
      <c r="W114" s="2">
        <f t="shared" ref="W114:Y114" si="225">Q114^2</f>
        <v>0.37938242006681044</v>
      </c>
      <c r="X114" s="2">
        <f t="shared" si="225"/>
        <v>0.14452663631476881</v>
      </c>
      <c r="Y114" s="2">
        <f t="shared" si="225"/>
        <v>0.53294197067066706</v>
      </c>
    </row>
    <row r="115" spans="1:25" x14ac:dyDescent="0.7">
      <c r="A115" t="s">
        <v>56</v>
      </c>
      <c r="B115" s="3">
        <v>0.64481481481481484</v>
      </c>
      <c r="C115" t="s">
        <v>57</v>
      </c>
      <c r="D115" s="2">
        <v>37.632968333333331</v>
      </c>
      <c r="E115" t="s">
        <v>58</v>
      </c>
      <c r="F115" s="2">
        <v>141.01297833333334</v>
      </c>
      <c r="G115" t="s">
        <v>59</v>
      </c>
      <c r="H115" s="4">
        <v>0</v>
      </c>
      <c r="I115" s="5">
        <v>100</v>
      </c>
      <c r="J115">
        <v>170220</v>
      </c>
      <c r="M115" t="s">
        <v>57</v>
      </c>
      <c r="N115" t="s">
        <v>84</v>
      </c>
      <c r="O115" s="2">
        <v>3.9102563960113912E-6</v>
      </c>
      <c r="P115" s="2">
        <v>2.7564102538235602E-6</v>
      </c>
      <c r="Q115" s="2">
        <v>0.4355355439701365</v>
      </c>
      <c r="R115" s="2">
        <v>0.23280354079412158</v>
      </c>
      <c r="S115" s="2">
        <v>0.49385088682649281</v>
      </c>
      <c r="T115" s="5">
        <f t="shared" ref="T115:V115" si="226">IFERROR(MROUND(Q115,0.2),-MROUND(ABS(Q115),0.2))</f>
        <v>0.4</v>
      </c>
      <c r="U115" s="5">
        <f t="shared" si="226"/>
        <v>0.2</v>
      </c>
      <c r="V115" s="5">
        <f t="shared" si="226"/>
        <v>0.4</v>
      </c>
      <c r="W115" s="2">
        <f t="shared" ref="W115:Y115" si="227">Q115^2</f>
        <v>0.18969121006136269</v>
      </c>
      <c r="X115" s="2">
        <f t="shared" si="227"/>
        <v>5.4197488606280229E-2</v>
      </c>
      <c r="Y115" s="2">
        <f t="shared" si="227"/>
        <v>0.2438886984193134</v>
      </c>
    </row>
    <row r="116" spans="1:25" x14ac:dyDescent="0.7">
      <c r="A116" t="s">
        <v>56</v>
      </c>
      <c r="B116" s="3">
        <v>0.64482638888888888</v>
      </c>
      <c r="C116" t="s">
        <v>57</v>
      </c>
      <c r="D116" s="2">
        <v>37.632968333333331</v>
      </c>
      <c r="E116" t="s">
        <v>58</v>
      </c>
      <c r="F116" s="2">
        <v>141.01297666666667</v>
      </c>
      <c r="G116" t="s">
        <v>59</v>
      </c>
      <c r="H116" s="4">
        <v>0</v>
      </c>
      <c r="I116" s="5">
        <v>100</v>
      </c>
      <c r="J116">
        <v>170220</v>
      </c>
      <c r="M116" t="s">
        <v>57</v>
      </c>
      <c r="N116" t="s">
        <v>84</v>
      </c>
      <c r="O116" s="2">
        <v>3.9102563960113912E-6</v>
      </c>
      <c r="P116" s="2">
        <v>1.0897435913648224E-6</v>
      </c>
      <c r="Q116" s="2">
        <v>0.4355355439701365</v>
      </c>
      <c r="R116" s="2">
        <v>9.5041647553443909E-2</v>
      </c>
      <c r="S116" s="2">
        <v>0.4457848410576839</v>
      </c>
      <c r="T116" s="5">
        <f t="shared" ref="T116:V116" si="228">IFERROR(MROUND(Q116,0.2),-MROUND(ABS(Q116),0.2))</f>
        <v>0.4</v>
      </c>
      <c r="U116" s="5">
        <f t="shared" si="228"/>
        <v>0</v>
      </c>
      <c r="V116" s="5">
        <f t="shared" si="228"/>
        <v>0.4</v>
      </c>
      <c r="W116" s="2">
        <f t="shared" ref="W116:Y116" si="229">Q116^2</f>
        <v>0.18969121006136269</v>
      </c>
      <c r="X116" s="2">
        <f t="shared" si="229"/>
        <v>9.0329147696730505E-3</v>
      </c>
      <c r="Y116" s="2">
        <f t="shared" si="229"/>
        <v>0.1987241245168245</v>
      </c>
    </row>
    <row r="117" spans="1:25" x14ac:dyDescent="0.7">
      <c r="A117" t="s">
        <v>56</v>
      </c>
      <c r="B117" s="3">
        <v>0.64483796296296292</v>
      </c>
      <c r="C117" t="s">
        <v>57</v>
      </c>
      <c r="D117" s="2">
        <v>37.632966666666668</v>
      </c>
      <c r="E117" t="s">
        <v>58</v>
      </c>
      <c r="F117" s="2">
        <v>141.01297500000001</v>
      </c>
      <c r="G117" t="s">
        <v>59</v>
      </c>
      <c r="H117" s="4">
        <v>0</v>
      </c>
      <c r="I117" s="5">
        <v>100</v>
      </c>
      <c r="J117">
        <v>170220</v>
      </c>
      <c r="M117" t="s">
        <v>57</v>
      </c>
      <c r="N117" t="s">
        <v>85</v>
      </c>
      <c r="O117" s="2">
        <v>2.2435897335526533E-6</v>
      </c>
      <c r="P117" s="2">
        <v>-5.769230710939155E-7</v>
      </c>
      <c r="Q117" s="2">
        <v>0.25145656374481296</v>
      </c>
      <c r="R117" s="2">
        <v>0</v>
      </c>
      <c r="S117" s="2">
        <v>0.25145656374481296</v>
      </c>
      <c r="T117" s="5">
        <f t="shared" ref="T117:V117" si="230">IFERROR(MROUND(Q117,0.2),-MROUND(ABS(Q117),0.2))</f>
        <v>0.2</v>
      </c>
      <c r="U117" s="5">
        <f t="shared" si="230"/>
        <v>0</v>
      </c>
      <c r="V117" s="5">
        <f t="shared" si="230"/>
        <v>0.2</v>
      </c>
      <c r="W117" s="2">
        <f t="shared" ref="W117:Y117" si="231">Q117^2</f>
        <v>6.3230403450349179E-2</v>
      </c>
      <c r="X117" s="2">
        <f t="shared" si="231"/>
        <v>0</v>
      </c>
      <c r="Y117" s="2">
        <f t="shared" si="231"/>
        <v>6.3230403450349179E-2</v>
      </c>
    </row>
    <row r="118" spans="1:25" x14ac:dyDescent="0.7">
      <c r="A118" t="s">
        <v>56</v>
      </c>
      <c r="B118" s="3">
        <v>0.64484953703703707</v>
      </c>
      <c r="C118" t="s">
        <v>57</v>
      </c>
      <c r="D118" s="2">
        <v>37.632968333333331</v>
      </c>
      <c r="E118" t="s">
        <v>58</v>
      </c>
      <c r="F118" s="2">
        <v>141.01297500000001</v>
      </c>
      <c r="G118" t="s">
        <v>59</v>
      </c>
      <c r="H118" s="4">
        <v>0</v>
      </c>
      <c r="I118" s="5">
        <v>100</v>
      </c>
      <c r="J118">
        <v>170220</v>
      </c>
      <c r="M118" t="s">
        <v>57</v>
      </c>
      <c r="N118" t="s">
        <v>85</v>
      </c>
      <c r="O118" s="2">
        <v>3.9102563960113912E-6</v>
      </c>
      <c r="P118" s="2">
        <v>-5.769230710939155E-7</v>
      </c>
      <c r="Q118" s="2">
        <v>0.4355355439701365</v>
      </c>
      <c r="R118" s="2">
        <v>0</v>
      </c>
      <c r="S118" s="2">
        <v>0.4355355439701365</v>
      </c>
      <c r="T118" s="5">
        <f t="shared" ref="T118:V118" si="232">IFERROR(MROUND(Q118,0.2),-MROUND(ABS(Q118),0.2))</f>
        <v>0.4</v>
      </c>
      <c r="U118" s="5">
        <f t="shared" si="232"/>
        <v>0</v>
      </c>
      <c r="V118" s="5">
        <f t="shared" si="232"/>
        <v>0.4</v>
      </c>
      <c r="W118" s="2">
        <f t="shared" ref="W118:Y118" si="233">Q118^2</f>
        <v>0.18969121006136269</v>
      </c>
      <c r="X118" s="2">
        <f t="shared" si="233"/>
        <v>0</v>
      </c>
      <c r="Y118" s="2">
        <f t="shared" si="233"/>
        <v>0.18969121006136269</v>
      </c>
    </row>
    <row r="119" spans="1:25" x14ac:dyDescent="0.7">
      <c r="A119" t="s">
        <v>56</v>
      </c>
      <c r="B119" s="3">
        <v>0.64486111111111111</v>
      </c>
      <c r="C119" t="s">
        <v>57</v>
      </c>
      <c r="D119" s="2">
        <v>37.632968333333331</v>
      </c>
      <c r="E119" t="s">
        <v>58</v>
      </c>
      <c r="F119" s="2">
        <v>141.01297666666667</v>
      </c>
      <c r="G119" t="s">
        <v>59</v>
      </c>
      <c r="H119" s="4">
        <v>0</v>
      </c>
      <c r="I119" s="5">
        <v>100</v>
      </c>
      <c r="J119">
        <v>170220</v>
      </c>
      <c r="M119" t="s">
        <v>57</v>
      </c>
      <c r="N119" t="s">
        <v>85</v>
      </c>
      <c r="O119" s="2">
        <v>3.9102563960113912E-6</v>
      </c>
      <c r="P119" s="2">
        <v>1.0897435913648224E-6</v>
      </c>
      <c r="Q119" s="2">
        <v>0.4355355439701365</v>
      </c>
      <c r="R119" s="2">
        <v>9.5041647553443909E-2</v>
      </c>
      <c r="S119" s="2">
        <v>0.4457848410576839</v>
      </c>
      <c r="T119" s="5">
        <f t="shared" ref="T119:V119" si="234">IFERROR(MROUND(Q119,0.2),-MROUND(ABS(Q119),0.2))</f>
        <v>0.4</v>
      </c>
      <c r="U119" s="5">
        <f t="shared" si="234"/>
        <v>0</v>
      </c>
      <c r="V119" s="5">
        <f t="shared" si="234"/>
        <v>0.4</v>
      </c>
      <c r="W119" s="2">
        <f t="shared" ref="W119:Y119" si="235">Q119^2</f>
        <v>0.18969121006136269</v>
      </c>
      <c r="X119" s="2">
        <f t="shared" si="235"/>
        <v>9.0329147696730505E-3</v>
      </c>
      <c r="Y119" s="2">
        <f t="shared" si="235"/>
        <v>0.1987241245168245</v>
      </c>
    </row>
    <row r="120" spans="1:25" x14ac:dyDescent="0.7">
      <c r="A120" t="s">
        <v>56</v>
      </c>
      <c r="B120" s="3">
        <v>0.64487268518518526</v>
      </c>
      <c r="C120" t="s">
        <v>57</v>
      </c>
      <c r="D120" s="2">
        <v>37.632968333333331</v>
      </c>
      <c r="E120" t="s">
        <v>58</v>
      </c>
      <c r="F120" s="2">
        <v>141.01297666666667</v>
      </c>
      <c r="G120" t="s">
        <v>59</v>
      </c>
      <c r="H120" s="4">
        <v>0</v>
      </c>
      <c r="I120" s="5">
        <v>100</v>
      </c>
      <c r="J120">
        <v>170220</v>
      </c>
      <c r="M120" t="s">
        <v>57</v>
      </c>
      <c r="N120" t="s">
        <v>77</v>
      </c>
      <c r="O120" s="2">
        <v>3.9102563960113912E-6</v>
      </c>
      <c r="P120" s="2">
        <v>1.0897435913648224E-6</v>
      </c>
      <c r="Q120" s="2">
        <v>0.4355355439701365</v>
      </c>
      <c r="R120" s="2">
        <v>9.5041647553443909E-2</v>
      </c>
      <c r="S120" s="2">
        <v>0.4457848410576839</v>
      </c>
      <c r="T120" s="5">
        <f t="shared" ref="T120:V120" si="236">IFERROR(MROUND(Q120,0.2),-MROUND(ABS(Q120),0.2))</f>
        <v>0.4</v>
      </c>
      <c r="U120" s="5">
        <f t="shared" si="236"/>
        <v>0</v>
      </c>
      <c r="V120" s="5">
        <f t="shared" si="236"/>
        <v>0.4</v>
      </c>
      <c r="W120" s="2">
        <f t="shared" ref="W120:Y120" si="237">Q120^2</f>
        <v>0.18969121006136269</v>
      </c>
      <c r="X120" s="2">
        <f t="shared" si="237"/>
        <v>9.0329147696730505E-3</v>
      </c>
      <c r="Y120" s="2">
        <f t="shared" si="237"/>
        <v>0.1987241245168245</v>
      </c>
    </row>
    <row r="121" spans="1:25" x14ac:dyDescent="0.7">
      <c r="A121" t="s">
        <v>56</v>
      </c>
      <c r="B121" s="3">
        <v>0.6448842592592593</v>
      </c>
      <c r="C121" t="s">
        <v>57</v>
      </c>
      <c r="D121" s="2">
        <v>37.632966666666668</v>
      </c>
      <c r="E121" t="s">
        <v>58</v>
      </c>
      <c r="F121" s="2">
        <v>141.01297500000001</v>
      </c>
      <c r="G121" t="s">
        <v>59</v>
      </c>
      <c r="H121" s="4">
        <v>0</v>
      </c>
      <c r="I121" s="5">
        <v>100</v>
      </c>
      <c r="J121">
        <v>170220</v>
      </c>
      <c r="M121" t="s">
        <v>57</v>
      </c>
      <c r="N121" t="s">
        <v>82</v>
      </c>
      <c r="O121" s="2">
        <v>2.2435897335526533E-6</v>
      </c>
      <c r="P121" s="2">
        <v>-5.769230710939155E-7</v>
      </c>
      <c r="Q121" s="2">
        <v>0.25145656374481296</v>
      </c>
      <c r="R121" s="2">
        <v>0</v>
      </c>
      <c r="S121" s="2">
        <v>0.25145656374481296</v>
      </c>
      <c r="T121" s="5">
        <f t="shared" ref="T121:V121" si="238">IFERROR(MROUND(Q121,0.2),-MROUND(ABS(Q121),0.2))</f>
        <v>0.2</v>
      </c>
      <c r="U121" s="5">
        <f t="shared" si="238"/>
        <v>0</v>
      </c>
      <c r="V121" s="5">
        <f t="shared" si="238"/>
        <v>0.2</v>
      </c>
      <c r="W121" s="2">
        <f t="shared" ref="W121:Y121" si="239">Q121^2</f>
        <v>6.3230403450349179E-2</v>
      </c>
      <c r="X121" s="2">
        <f t="shared" si="239"/>
        <v>0</v>
      </c>
      <c r="Y121" s="2">
        <f t="shared" si="239"/>
        <v>6.3230403450349179E-2</v>
      </c>
    </row>
    <row r="122" spans="1:25" x14ac:dyDescent="0.7">
      <c r="A122" t="s">
        <v>56</v>
      </c>
      <c r="B122" s="3">
        <v>0.64489583333333333</v>
      </c>
      <c r="C122" t="s">
        <v>57</v>
      </c>
      <c r="D122" s="2">
        <v>37.632964999999999</v>
      </c>
      <c r="E122" t="s">
        <v>58</v>
      </c>
      <c r="F122" s="2">
        <v>141.01297666666667</v>
      </c>
      <c r="G122" t="s">
        <v>59</v>
      </c>
      <c r="H122" s="4">
        <v>0</v>
      </c>
      <c r="I122" s="5">
        <v>100</v>
      </c>
      <c r="J122">
        <v>170220</v>
      </c>
      <c r="M122" t="s">
        <v>57</v>
      </c>
      <c r="N122" t="s">
        <v>71</v>
      </c>
      <c r="O122" s="2">
        <v>5.7692306398848814E-7</v>
      </c>
      <c r="P122" s="2">
        <v>1.0897435913648224E-6</v>
      </c>
      <c r="Q122" s="2">
        <v>0</v>
      </c>
      <c r="R122" s="2">
        <v>9.5041647553443909E-2</v>
      </c>
      <c r="S122" s="2">
        <v>9.5041647553443909E-2</v>
      </c>
      <c r="T122" s="5">
        <f t="shared" ref="T122:V122" si="240">IFERROR(MROUND(Q122,0.2),-MROUND(ABS(Q122),0.2))</f>
        <v>0</v>
      </c>
      <c r="U122" s="5">
        <f t="shared" si="240"/>
        <v>0</v>
      </c>
      <c r="V122" s="5">
        <f t="shared" si="240"/>
        <v>0</v>
      </c>
      <c r="W122" s="2">
        <f t="shared" ref="W122:Y122" si="241">Q122^2</f>
        <v>0</v>
      </c>
      <c r="X122" s="2">
        <f t="shared" si="241"/>
        <v>9.0329147696730505E-3</v>
      </c>
      <c r="Y122" s="2">
        <f t="shared" si="241"/>
        <v>9.0329147696730505E-3</v>
      </c>
    </row>
    <row r="123" spans="1:25" x14ac:dyDescent="0.7">
      <c r="A123" t="s">
        <v>56</v>
      </c>
      <c r="B123" s="3">
        <v>0.64490740740740737</v>
      </c>
      <c r="C123" t="s">
        <v>57</v>
      </c>
      <c r="D123" s="2">
        <v>37.632964999999999</v>
      </c>
      <c r="E123" t="s">
        <v>58</v>
      </c>
      <c r="F123" s="2">
        <v>141.01297833333334</v>
      </c>
      <c r="G123" t="s">
        <v>59</v>
      </c>
      <c r="H123" s="4">
        <v>0</v>
      </c>
      <c r="I123" s="5">
        <v>100</v>
      </c>
      <c r="J123">
        <v>170220</v>
      </c>
      <c r="M123" t="s">
        <v>57</v>
      </c>
      <c r="N123" t="s">
        <v>74</v>
      </c>
      <c r="O123" s="2">
        <v>5.7692306398848814E-7</v>
      </c>
      <c r="P123" s="2">
        <v>2.7564102538235602E-6</v>
      </c>
      <c r="Q123" s="2">
        <v>0</v>
      </c>
      <c r="R123" s="2">
        <v>0.23280354079412158</v>
      </c>
      <c r="S123" s="2">
        <v>0.23280354079412158</v>
      </c>
      <c r="T123" s="5">
        <f t="shared" ref="T123:V123" si="242">IFERROR(MROUND(Q123,0.2),-MROUND(ABS(Q123),0.2))</f>
        <v>0</v>
      </c>
      <c r="U123" s="5">
        <f t="shared" si="242"/>
        <v>0.2</v>
      </c>
      <c r="V123" s="5">
        <f t="shared" si="242"/>
        <v>0.2</v>
      </c>
      <c r="W123" s="2">
        <f t="shared" ref="W123:Y123" si="243">Q123^2</f>
        <v>0</v>
      </c>
      <c r="X123" s="2">
        <f t="shared" si="243"/>
        <v>5.4197488606280229E-2</v>
      </c>
      <c r="Y123" s="2">
        <f t="shared" si="243"/>
        <v>5.4197488606280229E-2</v>
      </c>
    </row>
    <row r="124" spans="1:25" x14ac:dyDescent="0.7">
      <c r="A124" t="s">
        <v>56</v>
      </c>
      <c r="B124" s="3">
        <v>0.64491898148148141</v>
      </c>
      <c r="C124" t="s">
        <v>57</v>
      </c>
      <c r="D124" s="2">
        <v>37.632964999999999</v>
      </c>
      <c r="E124" t="s">
        <v>58</v>
      </c>
      <c r="F124" s="2">
        <v>141.01297666666667</v>
      </c>
      <c r="G124" t="s">
        <v>59</v>
      </c>
      <c r="H124" s="4">
        <v>0</v>
      </c>
      <c r="I124" s="5">
        <v>100</v>
      </c>
      <c r="J124">
        <v>170220</v>
      </c>
      <c r="M124" t="s">
        <v>57</v>
      </c>
      <c r="N124" t="s">
        <v>74</v>
      </c>
      <c r="O124" s="2">
        <v>5.7692306398848814E-7</v>
      </c>
      <c r="P124" s="2">
        <v>1.0897435913648224E-6</v>
      </c>
      <c r="Q124" s="2">
        <v>0</v>
      </c>
      <c r="R124" s="2">
        <v>9.5041647553443909E-2</v>
      </c>
      <c r="S124" s="2">
        <v>9.5041647553443909E-2</v>
      </c>
      <c r="T124" s="5">
        <f t="shared" ref="T124:V124" si="244">IFERROR(MROUND(Q124,0.2),-MROUND(ABS(Q124),0.2))</f>
        <v>0</v>
      </c>
      <c r="U124" s="5">
        <f t="shared" si="244"/>
        <v>0</v>
      </c>
      <c r="V124" s="5">
        <f t="shared" si="244"/>
        <v>0</v>
      </c>
      <c r="W124" s="2">
        <f t="shared" ref="W124:Y124" si="245">Q124^2</f>
        <v>0</v>
      </c>
      <c r="X124" s="2">
        <f t="shared" si="245"/>
        <v>9.0329147696730505E-3</v>
      </c>
      <c r="Y124" s="2">
        <f t="shared" si="245"/>
        <v>9.0329147696730505E-3</v>
      </c>
    </row>
    <row r="125" spans="1:25" x14ac:dyDescent="0.7">
      <c r="A125" t="s">
        <v>56</v>
      </c>
      <c r="B125" s="3">
        <v>0.64493055555555556</v>
      </c>
      <c r="C125" t="s">
        <v>57</v>
      </c>
      <c r="D125" s="2">
        <v>37.632964999999999</v>
      </c>
      <c r="E125" t="s">
        <v>58</v>
      </c>
      <c r="F125" s="2">
        <v>141.01297500000001</v>
      </c>
      <c r="G125" t="s">
        <v>59</v>
      </c>
      <c r="H125" s="4">
        <v>0</v>
      </c>
      <c r="I125" s="5">
        <v>100</v>
      </c>
      <c r="J125">
        <v>170220</v>
      </c>
      <c r="M125" t="s">
        <v>57</v>
      </c>
      <c r="N125" t="s">
        <v>74</v>
      </c>
      <c r="O125" s="2">
        <v>5.7692306398848814E-7</v>
      </c>
      <c r="P125" s="2">
        <v>-5.769230710939155E-7</v>
      </c>
      <c r="Q125" s="2">
        <v>0</v>
      </c>
      <c r="R125" s="2">
        <v>0</v>
      </c>
      <c r="S125" s="2">
        <v>0</v>
      </c>
      <c r="T125" s="5">
        <f t="shared" ref="T125:V125" si="246">IFERROR(MROUND(Q125,0.2),-MROUND(ABS(Q125),0.2))</f>
        <v>0</v>
      </c>
      <c r="U125" s="5">
        <f t="shared" si="246"/>
        <v>0</v>
      </c>
      <c r="V125" s="5">
        <f t="shared" si="246"/>
        <v>0</v>
      </c>
      <c r="W125" s="2">
        <f t="shared" ref="W125:Y125" si="247">Q125^2</f>
        <v>0</v>
      </c>
      <c r="X125" s="2">
        <f t="shared" si="247"/>
        <v>0</v>
      </c>
      <c r="Y125" s="2">
        <f t="shared" si="247"/>
        <v>0</v>
      </c>
    </row>
    <row r="126" spans="1:25" x14ac:dyDescent="0.7">
      <c r="A126" t="s">
        <v>56</v>
      </c>
      <c r="B126" s="3">
        <v>0.6449421296296296</v>
      </c>
      <c r="C126" t="s">
        <v>57</v>
      </c>
      <c r="D126" s="2">
        <v>37.632964999999999</v>
      </c>
      <c r="E126" t="s">
        <v>58</v>
      </c>
      <c r="F126" s="2">
        <v>141.01297333333332</v>
      </c>
      <c r="G126" t="s">
        <v>59</v>
      </c>
      <c r="H126" s="4">
        <v>0</v>
      </c>
      <c r="I126" s="5">
        <v>100</v>
      </c>
      <c r="J126">
        <v>170220</v>
      </c>
      <c r="M126" t="s">
        <v>57</v>
      </c>
      <c r="N126" t="s">
        <v>74</v>
      </c>
      <c r="O126" s="2">
        <v>5.7692306398848814E-7</v>
      </c>
      <c r="P126" s="2">
        <v>-2.2435897619743628E-6</v>
      </c>
      <c r="Q126" s="2">
        <v>0</v>
      </c>
      <c r="R126" s="2">
        <v>-0.19008329510688782</v>
      </c>
      <c r="S126" s="2">
        <v>0.19008329510688782</v>
      </c>
      <c r="T126" s="5">
        <f t="shared" ref="T126:V126" si="248">IFERROR(MROUND(Q126,0.2),-MROUND(ABS(Q126),0.2))</f>
        <v>0</v>
      </c>
      <c r="U126" s="5">
        <f t="shared" si="248"/>
        <v>-0.2</v>
      </c>
      <c r="V126" s="5">
        <f t="shared" si="248"/>
        <v>0.2</v>
      </c>
      <c r="W126" s="2">
        <f t="shared" ref="W126:Y126" si="249">Q126^2</f>
        <v>0</v>
      </c>
      <c r="X126" s="2">
        <f t="shared" si="249"/>
        <v>3.6131659078692202E-2</v>
      </c>
      <c r="Y126" s="2">
        <f t="shared" si="249"/>
        <v>3.6131659078692202E-2</v>
      </c>
    </row>
    <row r="127" spans="1:25" x14ac:dyDescent="0.7">
      <c r="A127" t="s">
        <v>56</v>
      </c>
      <c r="B127" s="3">
        <v>0.64495370370370375</v>
      </c>
      <c r="C127" t="s">
        <v>57</v>
      </c>
      <c r="D127" s="2">
        <v>37.632964999999999</v>
      </c>
      <c r="E127" t="s">
        <v>58</v>
      </c>
      <c r="F127" s="2">
        <v>141.01297500000001</v>
      </c>
      <c r="G127" t="s">
        <v>59</v>
      </c>
      <c r="H127" s="4">
        <v>0</v>
      </c>
      <c r="I127" s="5">
        <v>100</v>
      </c>
      <c r="J127">
        <v>170220</v>
      </c>
      <c r="M127" t="s">
        <v>57</v>
      </c>
      <c r="N127" t="s">
        <v>77</v>
      </c>
      <c r="O127" s="2">
        <v>5.7692306398848814E-7</v>
      </c>
      <c r="P127" s="2">
        <v>-5.769230710939155E-7</v>
      </c>
      <c r="Q127" s="2">
        <v>0</v>
      </c>
      <c r="R127" s="2">
        <v>0</v>
      </c>
      <c r="S127" s="2">
        <v>0</v>
      </c>
      <c r="T127" s="5">
        <f t="shared" ref="T127:V127" si="250">IFERROR(MROUND(Q127,0.2),-MROUND(ABS(Q127),0.2))</f>
        <v>0</v>
      </c>
      <c r="U127" s="5">
        <f t="shared" si="250"/>
        <v>0</v>
      </c>
      <c r="V127" s="5">
        <f t="shared" si="250"/>
        <v>0</v>
      </c>
      <c r="W127" s="2">
        <f t="shared" ref="W127:Y127" si="251">Q127^2</f>
        <v>0</v>
      </c>
      <c r="X127" s="2">
        <f t="shared" si="251"/>
        <v>0</v>
      </c>
      <c r="Y127" s="2">
        <f t="shared" si="251"/>
        <v>0</v>
      </c>
    </row>
    <row r="128" spans="1:25" x14ac:dyDescent="0.7">
      <c r="A128" t="s">
        <v>56</v>
      </c>
      <c r="B128" s="3">
        <v>0.64496527777777779</v>
      </c>
      <c r="C128" t="s">
        <v>57</v>
      </c>
      <c r="D128" s="2">
        <v>37.632964999999999</v>
      </c>
      <c r="E128" t="s">
        <v>58</v>
      </c>
      <c r="F128" s="2">
        <v>141.01297500000001</v>
      </c>
      <c r="G128" t="s">
        <v>59</v>
      </c>
      <c r="H128" s="4">
        <v>0</v>
      </c>
      <c r="I128" s="5">
        <v>100</v>
      </c>
      <c r="J128">
        <v>170220</v>
      </c>
      <c r="M128" t="s">
        <v>57</v>
      </c>
      <c r="N128" t="s">
        <v>85</v>
      </c>
      <c r="O128" s="2">
        <v>5.7692306398848814E-7</v>
      </c>
      <c r="P128" s="2">
        <v>-5.769230710939155E-7</v>
      </c>
      <c r="Q128" s="2">
        <v>0</v>
      </c>
      <c r="R128" s="2">
        <v>0</v>
      </c>
      <c r="S128" s="2">
        <v>0</v>
      </c>
      <c r="T128" s="5">
        <f t="shared" ref="T128:V128" si="252">IFERROR(MROUND(Q128,0.2),-MROUND(ABS(Q128),0.2))</f>
        <v>0</v>
      </c>
      <c r="U128" s="5">
        <f t="shared" si="252"/>
        <v>0</v>
      </c>
      <c r="V128" s="5">
        <f t="shared" si="252"/>
        <v>0</v>
      </c>
      <c r="W128" s="2">
        <f t="shared" ref="W128:Y128" si="253">Q128^2</f>
        <v>0</v>
      </c>
      <c r="X128" s="2">
        <f t="shared" si="253"/>
        <v>0</v>
      </c>
      <c r="Y128" s="2">
        <f t="shared" si="253"/>
        <v>0</v>
      </c>
    </row>
    <row r="129" spans="1:25" x14ac:dyDescent="0.7">
      <c r="A129" t="s">
        <v>56</v>
      </c>
      <c r="B129" s="3">
        <v>0.64497685185185183</v>
      </c>
      <c r="C129" t="s">
        <v>57</v>
      </c>
      <c r="D129" s="2">
        <v>37.632963333333336</v>
      </c>
      <c r="E129" t="s">
        <v>58</v>
      </c>
      <c r="F129" s="2">
        <v>141.01297333333332</v>
      </c>
      <c r="G129" t="s">
        <v>59</v>
      </c>
      <c r="H129" s="4">
        <v>0</v>
      </c>
      <c r="I129" s="5">
        <v>100</v>
      </c>
      <c r="J129">
        <v>170220</v>
      </c>
      <c r="M129" t="s">
        <v>57</v>
      </c>
      <c r="N129" t="s">
        <v>76</v>
      </c>
      <c r="O129" s="2">
        <v>-1.0897435984702497E-6</v>
      </c>
      <c r="P129" s="2">
        <v>-2.2435897619743628E-6</v>
      </c>
      <c r="Q129" s="2">
        <v>-0.13440918607627972</v>
      </c>
      <c r="R129" s="2">
        <v>-0.19008329510688782</v>
      </c>
      <c r="S129" s="2">
        <v>0.23280354079412158</v>
      </c>
      <c r="T129" s="5">
        <f t="shared" ref="T129:V129" si="254">IFERROR(MROUND(Q129,0.2),-MROUND(ABS(Q129),0.2))</f>
        <v>-0.2</v>
      </c>
      <c r="U129" s="5">
        <f t="shared" si="254"/>
        <v>-0.2</v>
      </c>
      <c r="V129" s="5">
        <f t="shared" si="254"/>
        <v>0.2</v>
      </c>
      <c r="W129" s="2">
        <f t="shared" ref="W129:Y129" si="255">Q129^2</f>
        <v>1.8065829301687986E-2</v>
      </c>
      <c r="X129" s="2">
        <f t="shared" si="255"/>
        <v>3.6131659078692202E-2</v>
      </c>
      <c r="Y129" s="2">
        <f t="shared" si="255"/>
        <v>5.4197488606280229E-2</v>
      </c>
    </row>
    <row r="130" spans="1:25" x14ac:dyDescent="0.7">
      <c r="A130" t="s">
        <v>56</v>
      </c>
      <c r="B130" s="3">
        <v>0.64498842592592587</v>
      </c>
      <c r="C130" t="s">
        <v>57</v>
      </c>
      <c r="D130" s="2">
        <v>37.632964999999999</v>
      </c>
      <c r="E130" t="s">
        <v>58</v>
      </c>
      <c r="F130" s="2">
        <v>141.01297166666666</v>
      </c>
      <c r="G130" t="s">
        <v>59</v>
      </c>
      <c r="H130" s="4">
        <v>0</v>
      </c>
      <c r="I130" s="5">
        <v>100</v>
      </c>
      <c r="J130">
        <v>170220</v>
      </c>
      <c r="M130" t="s">
        <v>57</v>
      </c>
      <c r="N130" t="s">
        <v>78</v>
      </c>
      <c r="O130" s="2">
        <v>5.7692306398848814E-7</v>
      </c>
      <c r="P130" s="2">
        <v>-3.9102564244331006E-6</v>
      </c>
      <c r="Q130" s="2">
        <v>0</v>
      </c>
      <c r="R130" s="2">
        <v>-0.32923392455099521</v>
      </c>
      <c r="S130" s="2">
        <v>0.34267753328923733</v>
      </c>
      <c r="T130" s="5">
        <f t="shared" ref="T130:V130" si="256">IFERROR(MROUND(Q130,0.2),-MROUND(ABS(Q130),0.2))</f>
        <v>0</v>
      </c>
      <c r="U130" s="5">
        <f t="shared" si="256"/>
        <v>-0.4</v>
      </c>
      <c r="V130" s="5">
        <f t="shared" si="256"/>
        <v>0.4</v>
      </c>
      <c r="W130" s="2">
        <f t="shared" ref="W130:Y130" si="257">Q130^2</f>
        <v>0</v>
      </c>
      <c r="X130" s="2">
        <f t="shared" si="257"/>
        <v>0.10839497707525041</v>
      </c>
      <c r="Y130" s="2">
        <f t="shared" si="257"/>
        <v>0.11742789182119637</v>
      </c>
    </row>
    <row r="131" spans="1:25" x14ac:dyDescent="0.7">
      <c r="A131" t="s">
        <v>56</v>
      </c>
      <c r="B131" s="3">
        <v>0.64500000000000002</v>
      </c>
      <c r="C131" t="s">
        <v>57</v>
      </c>
      <c r="D131" s="2">
        <v>37.632961666666667</v>
      </c>
      <c r="E131" t="s">
        <v>58</v>
      </c>
      <c r="F131" s="2">
        <v>141.01297166666666</v>
      </c>
      <c r="G131" t="s">
        <v>59</v>
      </c>
      <c r="H131" s="4">
        <v>0</v>
      </c>
      <c r="I131" s="5">
        <v>100</v>
      </c>
      <c r="J131">
        <v>170220</v>
      </c>
      <c r="M131" t="s">
        <v>57</v>
      </c>
      <c r="N131" t="s">
        <v>84</v>
      </c>
      <c r="O131" s="2">
        <v>-2.7564102680344149E-6</v>
      </c>
      <c r="P131" s="2">
        <v>-3.9102564244331006E-6</v>
      </c>
      <c r="Q131" s="2">
        <v>-0.30054807823986107</v>
      </c>
      <c r="R131" s="2">
        <v>-0.32923392455099521</v>
      </c>
      <c r="S131" s="2">
        <v>0.45580372870596908</v>
      </c>
      <c r="T131" s="5">
        <f t="shared" ref="T131:V131" si="258">IFERROR(MROUND(Q131,0.2),-MROUND(ABS(Q131),0.2))</f>
        <v>-0.4</v>
      </c>
      <c r="U131" s="5">
        <f t="shared" si="258"/>
        <v>-0.4</v>
      </c>
      <c r="V131" s="5">
        <f t="shared" si="258"/>
        <v>0.4</v>
      </c>
      <c r="W131" s="2">
        <f t="shared" ref="W131:Y131" si="259">Q131^2</f>
        <v>9.0329147333673657E-2</v>
      </c>
      <c r="X131" s="2">
        <f t="shared" si="259"/>
        <v>0.10839497707525041</v>
      </c>
      <c r="Y131" s="2">
        <f t="shared" si="259"/>
        <v>0.20775703910226467</v>
      </c>
    </row>
    <row r="132" spans="1:25" x14ac:dyDescent="0.7">
      <c r="A132" t="s">
        <v>56</v>
      </c>
      <c r="B132" s="3">
        <v>0.64502314814814821</v>
      </c>
      <c r="C132" t="s">
        <v>57</v>
      </c>
      <c r="D132" s="2">
        <v>37.632961666666667</v>
      </c>
      <c r="E132" t="s">
        <v>58</v>
      </c>
      <c r="F132" s="2">
        <v>141.01297166666666</v>
      </c>
      <c r="G132" t="s">
        <v>59</v>
      </c>
      <c r="H132" s="4">
        <v>0</v>
      </c>
      <c r="I132" s="5">
        <v>100</v>
      </c>
      <c r="J132">
        <v>170220</v>
      </c>
      <c r="M132" t="s">
        <v>57</v>
      </c>
      <c r="N132" t="s">
        <v>82</v>
      </c>
      <c r="O132" s="2">
        <v>-2.7564102680344149E-6</v>
      </c>
      <c r="P132" s="2">
        <v>-3.9102564244331006E-6</v>
      </c>
      <c r="Q132" s="2">
        <v>-0.30054807823986107</v>
      </c>
      <c r="R132" s="2">
        <v>-0.32923392455099521</v>
      </c>
      <c r="S132" s="2">
        <v>0.45580372870596908</v>
      </c>
      <c r="T132" s="5">
        <f t="shared" ref="T132:V132" si="260">IFERROR(MROUND(Q132,0.2),-MROUND(ABS(Q132),0.2))</f>
        <v>-0.4</v>
      </c>
      <c r="U132" s="5">
        <f t="shared" si="260"/>
        <v>-0.4</v>
      </c>
      <c r="V132" s="5">
        <f t="shared" si="260"/>
        <v>0.4</v>
      </c>
      <c r="W132" s="2">
        <f t="shared" ref="W132:Y132" si="261">Q132^2</f>
        <v>9.0329147333673657E-2</v>
      </c>
      <c r="X132" s="2">
        <f t="shared" si="261"/>
        <v>0.10839497707525041</v>
      </c>
      <c r="Y132" s="2">
        <f t="shared" si="261"/>
        <v>0.20775703910226467</v>
      </c>
    </row>
    <row r="133" spans="1:25" x14ac:dyDescent="0.7">
      <c r="A133" t="s">
        <v>56</v>
      </c>
      <c r="B133" s="3">
        <v>0.64503472222222225</v>
      </c>
      <c r="C133" t="s">
        <v>57</v>
      </c>
      <c r="D133" s="2">
        <v>37.632961666666667</v>
      </c>
      <c r="E133" t="s">
        <v>58</v>
      </c>
      <c r="F133" s="2">
        <v>141.01297166666666</v>
      </c>
      <c r="G133" t="s">
        <v>59</v>
      </c>
      <c r="H133" s="4">
        <v>0</v>
      </c>
      <c r="I133" s="5">
        <v>100</v>
      </c>
      <c r="J133">
        <v>170220</v>
      </c>
      <c r="M133" t="s">
        <v>57</v>
      </c>
      <c r="N133" t="s">
        <v>81</v>
      </c>
      <c r="O133" s="2">
        <v>-2.7564102680344149E-6</v>
      </c>
      <c r="P133" s="2">
        <v>-3.9102564244331006E-6</v>
      </c>
      <c r="Q133" s="2">
        <v>-0.30054807823986107</v>
      </c>
      <c r="R133" s="2">
        <v>-0.32923392455099521</v>
      </c>
      <c r="S133" s="2">
        <v>0.45580372870596908</v>
      </c>
      <c r="T133" s="5">
        <f t="shared" ref="T133:V133" si="262">IFERROR(MROUND(Q133,0.2),-MROUND(ABS(Q133),0.2))</f>
        <v>-0.4</v>
      </c>
      <c r="U133" s="5">
        <f t="shared" si="262"/>
        <v>-0.4</v>
      </c>
      <c r="V133" s="5">
        <f t="shared" si="262"/>
        <v>0.4</v>
      </c>
      <c r="W133" s="2">
        <f t="shared" ref="W133:Y133" si="263">Q133^2</f>
        <v>9.0329147333673657E-2</v>
      </c>
      <c r="X133" s="2">
        <f t="shared" si="263"/>
        <v>0.10839497707525041</v>
      </c>
      <c r="Y133" s="2">
        <f t="shared" si="263"/>
        <v>0.20775703910226467</v>
      </c>
    </row>
    <row r="134" spans="1:25" x14ac:dyDescent="0.7">
      <c r="A134" t="s">
        <v>56</v>
      </c>
      <c r="B134" s="3">
        <v>0.64504629629629628</v>
      </c>
      <c r="C134" t="s">
        <v>57</v>
      </c>
      <c r="D134" s="2">
        <v>37.632960000000004</v>
      </c>
      <c r="E134" t="s">
        <v>58</v>
      </c>
      <c r="F134" s="2">
        <v>141.01297166666666</v>
      </c>
      <c r="G134" t="s">
        <v>59</v>
      </c>
      <c r="H134" s="4">
        <v>0.37040000000000006</v>
      </c>
      <c r="I134" s="5">
        <v>100</v>
      </c>
      <c r="J134">
        <v>170220</v>
      </c>
      <c r="M134" t="s">
        <v>57</v>
      </c>
      <c r="N134" t="s">
        <v>81</v>
      </c>
      <c r="O134" s="2">
        <v>-4.4230769304931528E-6</v>
      </c>
      <c r="P134" s="2">
        <v>-3.9102564244331006E-6</v>
      </c>
      <c r="Q134" s="2">
        <v>-0.48461921537840325</v>
      </c>
      <c r="R134" s="2">
        <v>-0.32923392455099521</v>
      </c>
      <c r="S134" s="2">
        <v>0.59353489823327821</v>
      </c>
      <c r="T134" s="5">
        <f t="shared" ref="T134:V134" si="264">IFERROR(MROUND(Q134,0.2),-MROUND(ABS(Q134),0.2))</f>
        <v>-0.4</v>
      </c>
      <c r="U134" s="5">
        <f t="shared" si="264"/>
        <v>-0.4</v>
      </c>
      <c r="V134" s="5">
        <f t="shared" si="264"/>
        <v>0.60000000000000009</v>
      </c>
      <c r="W134" s="2">
        <f t="shared" ref="W134:Y134" si="265">Q134^2</f>
        <v>0.23485578391397918</v>
      </c>
      <c r="X134" s="2">
        <f t="shared" si="265"/>
        <v>0.10839497707525041</v>
      </c>
      <c r="Y134" s="2">
        <f t="shared" si="265"/>
        <v>0.35228367542078792</v>
      </c>
    </row>
    <row r="135" spans="1:25" x14ac:dyDescent="0.7">
      <c r="A135" t="s">
        <v>56</v>
      </c>
      <c r="B135" s="3">
        <v>0.64506944444444447</v>
      </c>
      <c r="C135" t="s">
        <v>57</v>
      </c>
      <c r="D135" s="2">
        <v>37.632960000000004</v>
      </c>
      <c r="E135" t="s">
        <v>58</v>
      </c>
      <c r="F135" s="2">
        <v>141.01297500000001</v>
      </c>
      <c r="G135" t="s">
        <v>59</v>
      </c>
      <c r="H135" s="4">
        <v>0</v>
      </c>
      <c r="I135" s="5">
        <v>100</v>
      </c>
      <c r="J135">
        <v>170220</v>
      </c>
      <c r="M135" t="s">
        <v>57</v>
      </c>
      <c r="N135" t="s">
        <v>73</v>
      </c>
      <c r="O135" s="2">
        <v>-4.4230769304931528E-6</v>
      </c>
      <c r="P135" s="2">
        <v>-5.769230710939155E-7</v>
      </c>
      <c r="Q135" s="2">
        <v>-0.48461921537840325</v>
      </c>
      <c r="R135" s="2">
        <v>0</v>
      </c>
      <c r="S135" s="2">
        <v>0.48461921537840325</v>
      </c>
      <c r="T135" s="5">
        <f t="shared" ref="T135:V135" si="266">IFERROR(MROUND(Q135,0.2),-MROUND(ABS(Q135),0.2))</f>
        <v>-0.4</v>
      </c>
      <c r="U135" s="5">
        <f t="shared" si="266"/>
        <v>0</v>
      </c>
      <c r="V135" s="5">
        <f t="shared" si="266"/>
        <v>0.4</v>
      </c>
      <c r="W135" s="2">
        <f t="shared" ref="W135:Y135" si="267">Q135^2</f>
        <v>0.23485578391397918</v>
      </c>
      <c r="X135" s="2">
        <f t="shared" si="267"/>
        <v>0</v>
      </c>
      <c r="Y135" s="2">
        <f t="shared" si="267"/>
        <v>0.23485578391397918</v>
      </c>
    </row>
    <row r="136" spans="1:25" x14ac:dyDescent="0.7">
      <c r="A136" t="s">
        <v>56</v>
      </c>
      <c r="B136" s="3">
        <v>0.64509259259259266</v>
      </c>
      <c r="C136" t="s">
        <v>57</v>
      </c>
      <c r="D136" s="2">
        <v>37.632958333333335</v>
      </c>
      <c r="E136" t="s">
        <v>58</v>
      </c>
      <c r="F136" s="2">
        <v>141.01297833333334</v>
      </c>
      <c r="G136" t="s">
        <v>59</v>
      </c>
      <c r="H136" s="4">
        <v>0</v>
      </c>
      <c r="I136" s="5">
        <v>100</v>
      </c>
      <c r="J136">
        <v>170220</v>
      </c>
      <c r="M136" t="s">
        <v>57</v>
      </c>
      <c r="N136" t="s">
        <v>82</v>
      </c>
      <c r="O136" s="2">
        <v>-6.089743600057318E-6</v>
      </c>
      <c r="P136" s="2">
        <v>2.7564102538235602E-6</v>
      </c>
      <c r="Q136" s="2">
        <v>-0.67204593463009132</v>
      </c>
      <c r="R136" s="2">
        <v>0.23280354079412158</v>
      </c>
      <c r="S136" s="2">
        <v>0.71122656466230638</v>
      </c>
      <c r="T136" s="5">
        <f t="shared" ref="T136:V136" si="268">IFERROR(MROUND(Q136,0.2),-MROUND(ABS(Q136),0.2))</f>
        <v>-0.60000000000000009</v>
      </c>
      <c r="U136" s="5">
        <f t="shared" si="268"/>
        <v>0.2</v>
      </c>
      <c r="V136" s="5">
        <f t="shared" si="268"/>
        <v>0.8</v>
      </c>
      <c r="W136" s="2">
        <f t="shared" ref="W136:Y136" si="269">Q136^2</f>
        <v>0.451645738252833</v>
      </c>
      <c r="X136" s="2">
        <f t="shared" si="269"/>
        <v>5.4197488606280229E-2</v>
      </c>
      <c r="Y136" s="2">
        <f t="shared" si="269"/>
        <v>0.50584322628134593</v>
      </c>
    </row>
    <row r="137" spans="1:25" x14ac:dyDescent="0.7">
      <c r="A137" t="s">
        <v>56</v>
      </c>
      <c r="B137" s="3">
        <v>0.6451041666666667</v>
      </c>
      <c r="C137" t="s">
        <v>57</v>
      </c>
      <c r="D137" s="2">
        <v>37.632958333333335</v>
      </c>
      <c r="E137" t="s">
        <v>58</v>
      </c>
      <c r="F137" s="2">
        <v>141.01297833333334</v>
      </c>
      <c r="G137" t="s">
        <v>59</v>
      </c>
      <c r="H137" s="4">
        <v>0.37040000000000006</v>
      </c>
      <c r="I137" s="5">
        <v>100</v>
      </c>
      <c r="J137">
        <v>170220</v>
      </c>
      <c r="M137" t="s">
        <v>57</v>
      </c>
      <c r="N137" t="s">
        <v>73</v>
      </c>
      <c r="O137" s="2">
        <v>-6.089743600057318E-6</v>
      </c>
      <c r="P137" s="2">
        <v>2.7564102538235602E-6</v>
      </c>
      <c r="Q137" s="2">
        <v>-0.67204593463009132</v>
      </c>
      <c r="R137" s="2">
        <v>0.23280354079412158</v>
      </c>
      <c r="S137" s="2">
        <v>0.71122656466230638</v>
      </c>
      <c r="T137" s="5">
        <f t="shared" ref="T137:V137" si="270">IFERROR(MROUND(Q137,0.2),-MROUND(ABS(Q137),0.2))</f>
        <v>-0.60000000000000009</v>
      </c>
      <c r="U137" s="5">
        <f t="shared" si="270"/>
        <v>0.2</v>
      </c>
      <c r="V137" s="5">
        <f t="shared" si="270"/>
        <v>0.8</v>
      </c>
      <c r="W137" s="2">
        <f t="shared" ref="W137:Y137" si="271">Q137^2</f>
        <v>0.451645738252833</v>
      </c>
      <c r="X137" s="2">
        <f t="shared" si="271"/>
        <v>5.4197488606280229E-2</v>
      </c>
      <c r="Y137" s="2">
        <f t="shared" si="271"/>
        <v>0.50584322628134593</v>
      </c>
    </row>
    <row r="138" spans="1:25" x14ac:dyDescent="0.7">
      <c r="A138" t="s">
        <v>56</v>
      </c>
      <c r="B138" s="3">
        <v>0.64512731481481478</v>
      </c>
      <c r="C138" t="s">
        <v>57</v>
      </c>
      <c r="D138" s="2">
        <v>37.632955000000003</v>
      </c>
      <c r="E138" t="s">
        <v>58</v>
      </c>
      <c r="F138" s="2">
        <v>141.01297666666667</v>
      </c>
      <c r="G138" t="s">
        <v>59</v>
      </c>
      <c r="H138" s="4">
        <v>0</v>
      </c>
      <c r="I138" s="5">
        <v>100</v>
      </c>
      <c r="J138">
        <v>170220</v>
      </c>
      <c r="M138" t="s">
        <v>57</v>
      </c>
      <c r="N138" t="s">
        <v>78</v>
      </c>
      <c r="O138" s="2">
        <v>-9.423076932080221E-6</v>
      </c>
      <c r="P138" s="2">
        <v>1.0897435913648224E-6</v>
      </c>
      <c r="Q138" s="2">
        <v>-1.045458123087883</v>
      </c>
      <c r="R138" s="2">
        <v>9.5041647553443909E-2</v>
      </c>
      <c r="S138" s="2">
        <v>1.0497693084240001</v>
      </c>
      <c r="T138" s="5">
        <f t="shared" ref="T138:V138" si="272">IFERROR(MROUND(Q138,0.2),-MROUND(ABS(Q138),0.2))</f>
        <v>-1</v>
      </c>
      <c r="U138" s="5">
        <f t="shared" si="272"/>
        <v>0</v>
      </c>
      <c r="V138" s="5">
        <f t="shared" si="272"/>
        <v>1</v>
      </c>
      <c r="W138" s="2">
        <f t="shared" ref="W138:Y138" si="273">Q138^2</f>
        <v>1.0929826871304391</v>
      </c>
      <c r="X138" s="2">
        <f t="shared" si="273"/>
        <v>9.0329147696730505E-3</v>
      </c>
      <c r="Y138" s="2">
        <f t="shared" si="273"/>
        <v>1.1020156009090034</v>
      </c>
    </row>
    <row r="139" spans="1:25" x14ac:dyDescent="0.7">
      <c r="A139" t="s">
        <v>56</v>
      </c>
      <c r="B139" s="3">
        <v>0.64571759259259254</v>
      </c>
      <c r="C139" t="s">
        <v>57</v>
      </c>
      <c r="D139" s="2">
        <v>37.632950000000001</v>
      </c>
      <c r="E139" t="s">
        <v>58</v>
      </c>
      <c r="F139" s="2">
        <v>141.01303666666666</v>
      </c>
      <c r="G139" t="s">
        <v>59</v>
      </c>
      <c r="H139" s="4">
        <v>0</v>
      </c>
      <c r="I139" s="5">
        <v>94.4</v>
      </c>
      <c r="J139">
        <v>170220</v>
      </c>
      <c r="M139" t="s">
        <v>57</v>
      </c>
      <c r="N139" t="s">
        <v>87</v>
      </c>
      <c r="O139" s="2">
        <v>5.2777777810320003E-6</v>
      </c>
      <c r="P139" s="2">
        <v>-1.1944444423761524E-5</v>
      </c>
      <c r="Q139" s="2">
        <v>0.59353489823327821</v>
      </c>
      <c r="R139" s="2">
        <v>-1.0540628616852836</v>
      </c>
      <c r="S139" s="2">
        <v>1.2059433138239068</v>
      </c>
      <c r="T139" s="5">
        <f t="shared" ref="T139:V139" si="274">IFERROR(MROUND(Q139,0.2),-MROUND(ABS(Q139),0.2))</f>
        <v>0.60000000000000009</v>
      </c>
      <c r="U139" s="5">
        <f t="shared" si="274"/>
        <v>-1</v>
      </c>
      <c r="V139" s="5">
        <f t="shared" si="274"/>
        <v>1.2000000000000002</v>
      </c>
      <c r="W139" s="2">
        <f t="shared" ref="W139:Y139" si="275">Q139^2</f>
        <v>0.35228367542078792</v>
      </c>
      <c r="X139" s="2">
        <f t="shared" si="275"/>
        <v>1.1110485163841695</v>
      </c>
      <c r="Y139" s="2">
        <f t="shared" si="275"/>
        <v>1.4542992761565858</v>
      </c>
    </row>
    <row r="140" spans="1:25" x14ac:dyDescent="0.7">
      <c r="A140" t="s">
        <v>56</v>
      </c>
      <c r="B140" s="3">
        <v>0.64572916666666669</v>
      </c>
      <c r="C140" t="s">
        <v>57</v>
      </c>
      <c r="D140" s="2">
        <v>37.632950000000001</v>
      </c>
      <c r="E140" t="s">
        <v>58</v>
      </c>
      <c r="F140" s="2">
        <v>141.01303833333336</v>
      </c>
      <c r="G140" t="s">
        <v>59</v>
      </c>
      <c r="H140" s="4">
        <v>0</v>
      </c>
      <c r="I140" s="5">
        <v>94.4</v>
      </c>
      <c r="J140">
        <v>170220</v>
      </c>
      <c r="M140" t="s">
        <v>57</v>
      </c>
      <c r="N140" t="s">
        <v>87</v>
      </c>
      <c r="O140" s="2">
        <v>5.2777777810320003E-6</v>
      </c>
      <c r="P140" s="2">
        <v>-1.0277777732881077E-5</v>
      </c>
      <c r="Q140" s="2">
        <v>0.59353489823327821</v>
      </c>
      <c r="R140" s="2">
        <v>-0.9066395332293935</v>
      </c>
      <c r="S140" s="2">
        <v>1.0794656099974931</v>
      </c>
      <c r="T140" s="5">
        <f t="shared" ref="T140:V140" si="276">IFERROR(MROUND(Q140,0.2),-MROUND(ABS(Q140),0.2))</f>
        <v>0.60000000000000009</v>
      </c>
      <c r="U140" s="5">
        <f t="shared" si="276"/>
        <v>-1</v>
      </c>
      <c r="V140" s="5">
        <f t="shared" si="276"/>
        <v>1</v>
      </c>
      <c r="W140" s="2">
        <f t="shared" ref="W140:Y140" si="277">Q140^2</f>
        <v>0.35228367542078792</v>
      </c>
      <c r="X140" s="2">
        <f t="shared" si="277"/>
        <v>0.82199524321441253</v>
      </c>
      <c r="Y140" s="2">
        <f t="shared" si="277"/>
        <v>1.1652460031672598</v>
      </c>
    </row>
    <row r="141" spans="1:25" x14ac:dyDescent="0.7">
      <c r="A141" t="s">
        <v>56</v>
      </c>
      <c r="B141" s="3">
        <v>0.64578703703703699</v>
      </c>
      <c r="C141" t="s">
        <v>57</v>
      </c>
      <c r="D141" s="2">
        <v>37.632946666666662</v>
      </c>
      <c r="E141" t="s">
        <v>58</v>
      </c>
      <c r="F141" s="2">
        <v>141.01303666666666</v>
      </c>
      <c r="G141" t="s">
        <v>59</v>
      </c>
      <c r="H141" s="4">
        <v>0</v>
      </c>
      <c r="I141" s="5">
        <v>94.4</v>
      </c>
      <c r="J141">
        <v>170220</v>
      </c>
      <c r="M141" t="s">
        <v>57</v>
      </c>
      <c r="N141" t="s">
        <v>63</v>
      </c>
      <c r="O141" s="2">
        <v>1.9444444419036699E-6</v>
      </c>
      <c r="P141" s="2">
        <v>-1.1944444423761524E-5</v>
      </c>
      <c r="Q141" s="2">
        <v>0.23280354079412158</v>
      </c>
      <c r="R141" s="2">
        <v>-1.0540628616852836</v>
      </c>
      <c r="S141" s="2">
        <v>1.0794656099974931</v>
      </c>
      <c r="T141" s="5">
        <f t="shared" ref="T141:V141" si="278">IFERROR(MROUND(Q141,0.2),-MROUND(ABS(Q141),0.2))</f>
        <v>0.2</v>
      </c>
      <c r="U141" s="5">
        <f t="shared" si="278"/>
        <v>-1</v>
      </c>
      <c r="V141" s="5">
        <f t="shared" si="278"/>
        <v>1</v>
      </c>
      <c r="W141" s="2">
        <f t="shared" ref="W141:Y141" si="279">Q141^2</f>
        <v>5.4197488606280229E-2</v>
      </c>
      <c r="X141" s="2">
        <f t="shared" si="279"/>
        <v>1.1110485163841695</v>
      </c>
      <c r="Y141" s="2">
        <f t="shared" si="279"/>
        <v>1.1652460031672598</v>
      </c>
    </row>
    <row r="142" spans="1:25" x14ac:dyDescent="0.7">
      <c r="A142" t="s">
        <v>56</v>
      </c>
      <c r="B142" s="3">
        <v>0.64583333333333337</v>
      </c>
      <c r="C142" t="s">
        <v>57</v>
      </c>
      <c r="D142" s="2">
        <v>37.632948333333339</v>
      </c>
      <c r="E142" t="s">
        <v>58</v>
      </c>
      <c r="F142" s="2">
        <v>141.01304333333334</v>
      </c>
      <c r="G142" t="s">
        <v>59</v>
      </c>
      <c r="H142" s="4">
        <v>0</v>
      </c>
      <c r="I142" s="5">
        <v>94.4</v>
      </c>
      <c r="J142">
        <v>170220</v>
      </c>
      <c r="M142" t="s">
        <v>57</v>
      </c>
      <c r="N142" t="s">
        <v>66</v>
      </c>
      <c r="O142" s="2">
        <v>3.6111111185732625E-6</v>
      </c>
      <c r="P142" s="2">
        <v>-5.2777777455048636E-6</v>
      </c>
      <c r="Q142" s="2">
        <v>0.40322756106130098</v>
      </c>
      <c r="R142" s="2">
        <v>-0.46560708158824315</v>
      </c>
      <c r="S142" s="2">
        <v>0.61594027313272059</v>
      </c>
      <c r="T142" s="5">
        <f t="shared" ref="T142:V142" si="280">IFERROR(MROUND(Q142,0.2),-MROUND(ABS(Q142),0.2))</f>
        <v>0.4</v>
      </c>
      <c r="U142" s="5">
        <f t="shared" si="280"/>
        <v>-0.4</v>
      </c>
      <c r="V142" s="5">
        <f t="shared" si="280"/>
        <v>0.60000000000000009</v>
      </c>
      <c r="W142" s="2">
        <f t="shared" ref="W142:Y142" si="281">Q142^2</f>
        <v>0.16259246599944521</v>
      </c>
      <c r="X142" s="2">
        <f t="shared" si="281"/>
        <v>0.21678995442512092</v>
      </c>
      <c r="Y142" s="2">
        <f t="shared" si="281"/>
        <v>0.37938242006681044</v>
      </c>
    </row>
    <row r="143" spans="1:25" x14ac:dyDescent="0.7">
      <c r="A143" t="s">
        <v>56</v>
      </c>
      <c r="B143" s="3">
        <v>0.64585648148148145</v>
      </c>
      <c r="C143" t="s">
        <v>57</v>
      </c>
      <c r="D143" s="2">
        <v>37.632946666666662</v>
      </c>
      <c r="E143" t="s">
        <v>58</v>
      </c>
      <c r="F143" s="2">
        <v>141.01304666666667</v>
      </c>
      <c r="G143" t="s">
        <v>59</v>
      </c>
      <c r="H143" s="4">
        <v>0</v>
      </c>
      <c r="I143" s="5">
        <v>94.4</v>
      </c>
      <c r="J143">
        <v>170220</v>
      </c>
      <c r="M143" t="s">
        <v>57</v>
      </c>
      <c r="N143" t="s">
        <v>64</v>
      </c>
      <c r="O143" s="2">
        <v>1.9444444419036699E-6</v>
      </c>
      <c r="P143" s="2">
        <v>-1.9444444205873879E-6</v>
      </c>
      <c r="Q143" s="2">
        <v>0.23280354079412158</v>
      </c>
      <c r="R143" s="2">
        <v>-0.19008329510688782</v>
      </c>
      <c r="S143" s="2">
        <v>0.28512494266033173</v>
      </c>
      <c r="T143" s="5">
        <f t="shared" ref="T143:V143" si="282">IFERROR(MROUND(Q143,0.2),-MROUND(ABS(Q143),0.2))</f>
        <v>0.2</v>
      </c>
      <c r="U143" s="5">
        <f t="shared" si="282"/>
        <v>-0.2</v>
      </c>
      <c r="V143" s="5">
        <f t="shared" si="282"/>
        <v>0.2</v>
      </c>
      <c r="W143" s="2">
        <f t="shared" ref="W143:Y143" si="283">Q143^2</f>
        <v>5.4197488606280229E-2</v>
      </c>
      <c r="X143" s="2">
        <f t="shared" si="283"/>
        <v>3.6131659078692202E-2</v>
      </c>
      <c r="Y143" s="2">
        <f t="shared" si="283"/>
        <v>8.1296232927057455E-2</v>
      </c>
    </row>
    <row r="144" spans="1:25" x14ac:dyDescent="0.7">
      <c r="A144" t="s">
        <v>56</v>
      </c>
      <c r="B144" s="3">
        <v>0.64586805555555549</v>
      </c>
      <c r="C144" t="s">
        <v>57</v>
      </c>
      <c r="D144" s="2">
        <v>37.632944999999999</v>
      </c>
      <c r="E144" t="s">
        <v>58</v>
      </c>
      <c r="F144" s="2">
        <v>141.01304833333333</v>
      </c>
      <c r="G144" t="s">
        <v>59</v>
      </c>
      <c r="H144" s="4">
        <v>0</v>
      </c>
      <c r="I144" s="5">
        <v>94.4</v>
      </c>
      <c r="J144">
        <v>170220</v>
      </c>
      <c r="M144" t="s">
        <v>57</v>
      </c>
      <c r="N144" t="s">
        <v>62</v>
      </c>
      <c r="O144" s="2">
        <v>2.7777777944493209E-7</v>
      </c>
      <c r="P144" s="2">
        <v>-2.7777775812865002E-7</v>
      </c>
      <c r="Q144" s="2">
        <v>9.5041647553443909E-2</v>
      </c>
      <c r="R144" s="2">
        <v>0</v>
      </c>
      <c r="S144" s="2">
        <v>9.5041647553443909E-2</v>
      </c>
      <c r="T144" s="5">
        <f t="shared" ref="T144:V144" si="284">IFERROR(MROUND(Q144,0.2),-MROUND(ABS(Q144),0.2))</f>
        <v>0</v>
      </c>
      <c r="U144" s="5">
        <f t="shared" si="284"/>
        <v>0</v>
      </c>
      <c r="V144" s="5">
        <f t="shared" si="284"/>
        <v>0</v>
      </c>
      <c r="W144" s="2">
        <f t="shared" ref="W144:Y144" si="285">Q144^2</f>
        <v>9.0329147696730505E-3</v>
      </c>
      <c r="X144" s="2">
        <f t="shared" si="285"/>
        <v>0</v>
      </c>
      <c r="Y144" s="2">
        <f t="shared" si="285"/>
        <v>9.0329147696730505E-3</v>
      </c>
    </row>
    <row r="145" spans="1:25" x14ac:dyDescent="0.7">
      <c r="A145" t="s">
        <v>56</v>
      </c>
      <c r="B145" s="3">
        <v>0.64587962962962964</v>
      </c>
      <c r="C145" t="s">
        <v>57</v>
      </c>
      <c r="D145" s="2">
        <v>37.63294333333333</v>
      </c>
      <c r="E145" t="s">
        <v>58</v>
      </c>
      <c r="F145" s="2">
        <v>141.01304833333333</v>
      </c>
      <c r="G145" t="s">
        <v>59</v>
      </c>
      <c r="H145" s="4">
        <v>0</v>
      </c>
      <c r="I145" s="5">
        <v>94.4</v>
      </c>
      <c r="J145">
        <v>170220</v>
      </c>
      <c r="M145" t="s">
        <v>57</v>
      </c>
      <c r="N145" t="s">
        <v>70</v>
      </c>
      <c r="O145" s="2">
        <v>-1.3888888901192331E-6</v>
      </c>
      <c r="P145" s="2">
        <v>-2.7777775812865002E-7</v>
      </c>
      <c r="Q145" s="2">
        <v>-0.1646169622754976</v>
      </c>
      <c r="R145" s="2">
        <v>0</v>
      </c>
      <c r="S145" s="2">
        <v>0.1646169622754976</v>
      </c>
      <c r="T145" s="5">
        <f t="shared" ref="T145:V145" si="286">IFERROR(MROUND(Q145,0.2),-MROUND(ABS(Q145),0.2))</f>
        <v>-0.2</v>
      </c>
      <c r="U145" s="5">
        <f t="shared" si="286"/>
        <v>0</v>
      </c>
      <c r="V145" s="5">
        <f t="shared" si="286"/>
        <v>0.2</v>
      </c>
      <c r="W145" s="2">
        <f t="shared" ref="W145:Y145" si="287">Q145^2</f>
        <v>2.7098744268812602E-2</v>
      </c>
      <c r="X145" s="2">
        <f t="shared" si="287"/>
        <v>0</v>
      </c>
      <c r="Y145" s="2">
        <f t="shared" si="287"/>
        <v>2.7098744268812602E-2</v>
      </c>
    </row>
    <row r="146" spans="1:25" x14ac:dyDescent="0.7">
      <c r="A146" t="s">
        <v>56</v>
      </c>
      <c r="B146" s="3">
        <v>0.64589120370370368</v>
      </c>
      <c r="C146" t="s">
        <v>57</v>
      </c>
      <c r="D146" s="2">
        <v>37.63294333333333</v>
      </c>
      <c r="E146" t="s">
        <v>58</v>
      </c>
      <c r="F146" s="2">
        <v>141.01304999999999</v>
      </c>
      <c r="G146" t="s">
        <v>59</v>
      </c>
      <c r="H146" s="4">
        <v>0.37040000000000006</v>
      </c>
      <c r="I146" s="5">
        <v>94.4</v>
      </c>
      <c r="J146">
        <v>170220</v>
      </c>
      <c r="M146" t="s">
        <v>57</v>
      </c>
      <c r="N146" t="s">
        <v>88</v>
      </c>
      <c r="O146" s="2">
        <v>-1.3888888901192331E-6</v>
      </c>
      <c r="P146" s="2">
        <v>1.3888889043300878E-6</v>
      </c>
      <c r="Q146" s="2">
        <v>-0.1646169622754976</v>
      </c>
      <c r="R146" s="2">
        <v>0.13440918607627972</v>
      </c>
      <c r="S146" s="2">
        <v>0.21251958491087164</v>
      </c>
      <c r="T146" s="5">
        <f t="shared" ref="T146:V146" si="288">IFERROR(MROUND(Q146,0.2),-MROUND(ABS(Q146),0.2))</f>
        <v>-0.2</v>
      </c>
      <c r="U146" s="5">
        <f t="shared" si="288"/>
        <v>0.2</v>
      </c>
      <c r="V146" s="5">
        <f t="shared" si="288"/>
        <v>0.2</v>
      </c>
      <c r="W146" s="2">
        <f t="shared" ref="W146:Y146" si="289">Q146^2</f>
        <v>2.7098744268812602E-2</v>
      </c>
      <c r="X146" s="2">
        <f t="shared" si="289"/>
        <v>1.8065829301687986E-2</v>
      </c>
      <c r="Y146" s="2">
        <f t="shared" si="289"/>
        <v>4.5164573970689181E-2</v>
      </c>
    </row>
    <row r="147" spans="1:25" x14ac:dyDescent="0.7">
      <c r="A147" t="s">
        <v>56</v>
      </c>
      <c r="B147" s="3">
        <v>0.64590277777777783</v>
      </c>
      <c r="C147" t="s">
        <v>57</v>
      </c>
      <c r="D147" s="2">
        <v>37.63294333333333</v>
      </c>
      <c r="E147" t="s">
        <v>58</v>
      </c>
      <c r="F147" s="2">
        <v>141.01304999999999</v>
      </c>
      <c r="G147" t="s">
        <v>59</v>
      </c>
      <c r="H147" s="4">
        <v>0</v>
      </c>
      <c r="I147" s="5">
        <v>94.4</v>
      </c>
      <c r="J147">
        <v>170220</v>
      </c>
      <c r="M147" t="s">
        <v>57</v>
      </c>
      <c r="N147" t="s">
        <v>63</v>
      </c>
      <c r="O147" s="2">
        <v>-1.3888888901192331E-6</v>
      </c>
      <c r="P147" s="2">
        <v>1.3888889043300878E-6</v>
      </c>
      <c r="Q147" s="2">
        <v>-0.1646169622754976</v>
      </c>
      <c r="R147" s="2">
        <v>0.13440918607627972</v>
      </c>
      <c r="S147" s="2">
        <v>0.21251958491087164</v>
      </c>
      <c r="T147" s="5">
        <f t="shared" ref="T147:V147" si="290">IFERROR(MROUND(Q147,0.2),-MROUND(ABS(Q147),0.2))</f>
        <v>-0.2</v>
      </c>
      <c r="U147" s="5">
        <f t="shared" si="290"/>
        <v>0.2</v>
      </c>
      <c r="V147" s="5">
        <f t="shared" si="290"/>
        <v>0.2</v>
      </c>
      <c r="W147" s="2">
        <f t="shared" ref="W147:Y147" si="291">Q147^2</f>
        <v>2.7098744268812602E-2</v>
      </c>
      <c r="X147" s="2">
        <f t="shared" si="291"/>
        <v>1.8065829301687986E-2</v>
      </c>
      <c r="Y147" s="2">
        <f t="shared" si="291"/>
        <v>4.5164573970689181E-2</v>
      </c>
    </row>
    <row r="148" spans="1:25" x14ac:dyDescent="0.7">
      <c r="A148" t="s">
        <v>56</v>
      </c>
      <c r="B148" s="3">
        <v>0.64591435185185186</v>
      </c>
      <c r="C148" t="s">
        <v>57</v>
      </c>
      <c r="D148" s="2">
        <v>37.63294333333333</v>
      </c>
      <c r="E148" t="s">
        <v>58</v>
      </c>
      <c r="F148" s="2">
        <v>141.01304999999999</v>
      </c>
      <c r="G148" t="s">
        <v>59</v>
      </c>
      <c r="H148" s="4">
        <v>0</v>
      </c>
      <c r="I148" s="5">
        <v>94.4</v>
      </c>
      <c r="J148">
        <v>170220</v>
      </c>
      <c r="M148" t="s">
        <v>57</v>
      </c>
      <c r="N148" t="s">
        <v>88</v>
      </c>
      <c r="O148" s="2">
        <v>-1.3888888901192331E-6</v>
      </c>
      <c r="P148" s="2">
        <v>1.3888889043300878E-6</v>
      </c>
      <c r="Q148" s="2">
        <v>-0.1646169622754976</v>
      </c>
      <c r="R148" s="2">
        <v>0.13440918607627972</v>
      </c>
      <c r="S148" s="2">
        <v>0.21251958491087164</v>
      </c>
      <c r="T148" s="5">
        <f t="shared" ref="T148:V148" si="292">IFERROR(MROUND(Q148,0.2),-MROUND(ABS(Q148),0.2))</f>
        <v>-0.2</v>
      </c>
      <c r="U148" s="5">
        <f t="shared" si="292"/>
        <v>0.2</v>
      </c>
      <c r="V148" s="5">
        <f t="shared" si="292"/>
        <v>0.2</v>
      </c>
      <c r="W148" s="2">
        <f t="shared" ref="W148:Y148" si="293">Q148^2</f>
        <v>2.7098744268812602E-2</v>
      </c>
      <c r="X148" s="2">
        <f t="shared" si="293"/>
        <v>1.8065829301687986E-2</v>
      </c>
      <c r="Y148" s="2">
        <f t="shared" si="293"/>
        <v>4.5164573970689181E-2</v>
      </c>
    </row>
    <row r="149" spans="1:25" x14ac:dyDescent="0.7">
      <c r="A149" t="s">
        <v>56</v>
      </c>
      <c r="B149" s="3">
        <v>0.6459259259259259</v>
      </c>
      <c r="C149" t="s">
        <v>57</v>
      </c>
      <c r="D149" s="2">
        <v>37.63294333333333</v>
      </c>
      <c r="E149" t="s">
        <v>58</v>
      </c>
      <c r="F149" s="2">
        <v>141.01305166666668</v>
      </c>
      <c r="G149" t="s">
        <v>59</v>
      </c>
      <c r="H149" s="4">
        <v>0</v>
      </c>
      <c r="I149" s="5">
        <v>94.4</v>
      </c>
      <c r="J149">
        <v>170220</v>
      </c>
      <c r="M149" t="s">
        <v>57</v>
      </c>
      <c r="N149" t="s">
        <v>87</v>
      </c>
      <c r="O149" s="2">
        <v>-1.3888888901192331E-6</v>
      </c>
      <c r="P149" s="2">
        <v>3.0555555952105351E-6</v>
      </c>
      <c r="Q149" s="2">
        <v>-0.1646169622754976</v>
      </c>
      <c r="R149" s="2">
        <v>0.28512494266033173</v>
      </c>
      <c r="S149" s="2">
        <v>0.31521748439906938</v>
      </c>
      <c r="T149" s="5">
        <f t="shared" ref="T149:V149" si="294">IFERROR(MROUND(Q149,0.2),-MROUND(ABS(Q149),0.2))</f>
        <v>-0.2</v>
      </c>
      <c r="U149" s="5">
        <f t="shared" si="294"/>
        <v>0.2</v>
      </c>
      <c r="V149" s="5">
        <f t="shared" si="294"/>
        <v>0.4</v>
      </c>
      <c r="W149" s="2">
        <f t="shared" ref="W149:Y149" si="295">Q149^2</f>
        <v>2.7098744268812602E-2</v>
      </c>
      <c r="X149" s="2">
        <f t="shared" si="295"/>
        <v>8.1296232927057455E-2</v>
      </c>
      <c r="Y149" s="2">
        <f t="shared" si="295"/>
        <v>9.9362062470877546E-2</v>
      </c>
    </row>
    <row r="150" spans="1:25" x14ac:dyDescent="0.7">
      <c r="A150" t="s">
        <v>56</v>
      </c>
      <c r="B150" s="3">
        <v>0.64598379629629632</v>
      </c>
      <c r="C150" t="s">
        <v>57</v>
      </c>
      <c r="D150" s="2">
        <v>37.63294333333333</v>
      </c>
      <c r="E150" t="s">
        <v>58</v>
      </c>
      <c r="F150" s="2">
        <v>141.01305166666668</v>
      </c>
      <c r="G150" t="s">
        <v>59</v>
      </c>
      <c r="H150" s="4">
        <v>0</v>
      </c>
      <c r="I150" s="5">
        <v>94.4</v>
      </c>
      <c r="J150">
        <v>170220</v>
      </c>
      <c r="M150" t="s">
        <v>57</v>
      </c>
      <c r="N150" t="s">
        <v>89</v>
      </c>
      <c r="O150" s="2">
        <v>-1.3888888901192331E-6</v>
      </c>
      <c r="P150" s="2">
        <v>3.0555555952105351E-6</v>
      </c>
      <c r="Q150" s="2">
        <v>-0.1646169622754976</v>
      </c>
      <c r="R150" s="2">
        <v>0.28512494266033173</v>
      </c>
      <c r="S150" s="2">
        <v>0.31521748439906938</v>
      </c>
      <c r="T150" s="5">
        <f t="shared" ref="T150:V150" si="296">IFERROR(MROUND(Q150,0.2),-MROUND(ABS(Q150),0.2))</f>
        <v>-0.2</v>
      </c>
      <c r="U150" s="5">
        <f t="shared" si="296"/>
        <v>0.2</v>
      </c>
      <c r="V150" s="5">
        <f t="shared" si="296"/>
        <v>0.4</v>
      </c>
      <c r="W150" s="2">
        <f t="shared" ref="W150:Y150" si="297">Q150^2</f>
        <v>2.7098744268812602E-2</v>
      </c>
      <c r="X150" s="2">
        <f t="shared" si="297"/>
        <v>8.1296232927057455E-2</v>
      </c>
      <c r="Y150" s="2">
        <f t="shared" si="297"/>
        <v>9.9362062470877546E-2</v>
      </c>
    </row>
    <row r="151" spans="1:25" x14ac:dyDescent="0.7">
      <c r="A151" t="s">
        <v>56</v>
      </c>
      <c r="B151" s="3">
        <v>0.64599537037037036</v>
      </c>
      <c r="C151" t="s">
        <v>57</v>
      </c>
      <c r="D151" s="2">
        <v>37.63294333333333</v>
      </c>
      <c r="E151" t="s">
        <v>58</v>
      </c>
      <c r="F151" s="2">
        <v>141.01305333333332</v>
      </c>
      <c r="G151" t="s">
        <v>59</v>
      </c>
      <c r="H151" s="4">
        <v>0</v>
      </c>
      <c r="I151" s="5">
        <v>94.4</v>
      </c>
      <c r="J151">
        <v>170220</v>
      </c>
      <c r="M151" t="s">
        <v>57</v>
      </c>
      <c r="N151" t="s">
        <v>88</v>
      </c>
      <c r="O151" s="2">
        <v>-1.3888888901192331E-6</v>
      </c>
      <c r="P151" s="2">
        <v>4.7222222292475635E-6</v>
      </c>
      <c r="Q151" s="2">
        <v>-0.1646169622754976</v>
      </c>
      <c r="R151" s="2">
        <v>0.42503916840551237</v>
      </c>
      <c r="S151" s="2">
        <v>0.4457848410576839</v>
      </c>
      <c r="T151" s="5">
        <f t="shared" ref="T151:V151" si="298">IFERROR(MROUND(Q151,0.2),-MROUND(ABS(Q151),0.2))</f>
        <v>-0.2</v>
      </c>
      <c r="U151" s="5">
        <f t="shared" si="298"/>
        <v>0.4</v>
      </c>
      <c r="V151" s="5">
        <f t="shared" si="298"/>
        <v>0.4</v>
      </c>
      <c r="W151" s="2">
        <f t="shared" ref="W151:Y151" si="299">Q151^2</f>
        <v>2.7098744268812602E-2</v>
      </c>
      <c r="X151" s="2">
        <f t="shared" si="299"/>
        <v>0.1806582946788495</v>
      </c>
      <c r="Y151" s="2">
        <f t="shared" si="299"/>
        <v>0.1987241245168245</v>
      </c>
    </row>
    <row r="152" spans="1:25" x14ac:dyDescent="0.7">
      <c r="A152" t="s">
        <v>56</v>
      </c>
      <c r="B152" s="3">
        <v>0.6460069444444444</v>
      </c>
      <c r="C152" t="s">
        <v>57</v>
      </c>
      <c r="D152" s="2">
        <v>37.63294333333333</v>
      </c>
      <c r="E152" t="s">
        <v>58</v>
      </c>
      <c r="F152" s="2">
        <v>141.01305166666668</v>
      </c>
      <c r="G152" t="s">
        <v>59</v>
      </c>
      <c r="H152" s="4">
        <v>0</v>
      </c>
      <c r="I152" s="5">
        <v>94.4</v>
      </c>
      <c r="J152">
        <v>170220</v>
      </c>
      <c r="M152" t="s">
        <v>57</v>
      </c>
      <c r="N152" t="s">
        <v>64</v>
      </c>
      <c r="O152" s="2">
        <v>-1.3888888901192331E-6</v>
      </c>
      <c r="P152" s="2">
        <v>3.0555555952105351E-6</v>
      </c>
      <c r="Q152" s="2">
        <v>-0.1646169622754976</v>
      </c>
      <c r="R152" s="2">
        <v>0.28512494266033173</v>
      </c>
      <c r="S152" s="2">
        <v>0.31521748439906938</v>
      </c>
      <c r="T152" s="5">
        <f t="shared" ref="T152:V152" si="300">IFERROR(MROUND(Q152,0.2),-MROUND(ABS(Q152),0.2))</f>
        <v>-0.2</v>
      </c>
      <c r="U152" s="5">
        <f t="shared" si="300"/>
        <v>0.2</v>
      </c>
      <c r="V152" s="5">
        <f t="shared" si="300"/>
        <v>0.4</v>
      </c>
      <c r="W152" s="2">
        <f t="shared" ref="W152:Y152" si="301">Q152^2</f>
        <v>2.7098744268812602E-2</v>
      </c>
      <c r="X152" s="2">
        <f t="shared" si="301"/>
        <v>8.1296232927057455E-2</v>
      </c>
      <c r="Y152" s="2">
        <f t="shared" si="301"/>
        <v>9.9362062470877546E-2</v>
      </c>
    </row>
    <row r="153" spans="1:25" x14ac:dyDescent="0.7">
      <c r="A153" t="s">
        <v>56</v>
      </c>
      <c r="B153" s="3">
        <v>0.64601851851851855</v>
      </c>
      <c r="C153" t="s">
        <v>57</v>
      </c>
      <c r="D153" s="2">
        <v>37.632941666666667</v>
      </c>
      <c r="E153" t="s">
        <v>58</v>
      </c>
      <c r="F153" s="2">
        <v>141.01305333333332</v>
      </c>
      <c r="G153" t="s">
        <v>59</v>
      </c>
      <c r="H153" s="4">
        <v>0</v>
      </c>
      <c r="I153" s="5">
        <v>94.4</v>
      </c>
      <c r="J153">
        <v>170220</v>
      </c>
      <c r="M153" t="s">
        <v>57</v>
      </c>
      <c r="N153" t="s">
        <v>63</v>
      </c>
      <c r="O153" s="2">
        <v>-3.055555552577971E-6</v>
      </c>
      <c r="P153" s="2">
        <v>4.7222222292475635E-6</v>
      </c>
      <c r="Q153" s="2">
        <v>-0.34267753328923733</v>
      </c>
      <c r="R153" s="2">
        <v>0.42503916840551237</v>
      </c>
      <c r="S153" s="2">
        <v>0.5376367471375807</v>
      </c>
      <c r="T153" s="5">
        <f t="shared" ref="T153:V153" si="302">IFERROR(MROUND(Q153,0.2),-MROUND(ABS(Q153),0.2))</f>
        <v>-0.4</v>
      </c>
      <c r="U153" s="5">
        <f t="shared" si="302"/>
        <v>0.4</v>
      </c>
      <c r="V153" s="5">
        <f t="shared" si="302"/>
        <v>0.60000000000000009</v>
      </c>
      <c r="W153" s="2">
        <f t="shared" ref="W153:Y153" si="303">Q153^2</f>
        <v>0.11742789182119637</v>
      </c>
      <c r="X153" s="2">
        <f t="shared" si="303"/>
        <v>0.1806582946788495</v>
      </c>
      <c r="Y153" s="2">
        <f t="shared" si="303"/>
        <v>0.28905327187267887</v>
      </c>
    </row>
    <row r="154" spans="1:25" x14ac:dyDescent="0.7">
      <c r="A154" t="s">
        <v>56</v>
      </c>
      <c r="B154" s="3">
        <v>0.64603009259259259</v>
      </c>
      <c r="C154" t="s">
        <v>57</v>
      </c>
      <c r="D154" s="2">
        <v>37.63294333333333</v>
      </c>
      <c r="E154" t="s">
        <v>58</v>
      </c>
      <c r="F154" s="2">
        <v>141.01305499999998</v>
      </c>
      <c r="G154" t="s">
        <v>59</v>
      </c>
      <c r="H154" s="4">
        <v>0.18520000000000003</v>
      </c>
      <c r="I154" s="5">
        <v>94.4</v>
      </c>
      <c r="J154">
        <v>170220</v>
      </c>
      <c r="M154" t="s">
        <v>57</v>
      </c>
      <c r="N154" t="s">
        <v>61</v>
      </c>
      <c r="O154" s="2">
        <v>-1.3888888901192331E-6</v>
      </c>
      <c r="P154" s="2">
        <v>6.3888888917063014E-6</v>
      </c>
      <c r="Q154" s="2">
        <v>-0.1646169622754976</v>
      </c>
      <c r="R154" s="2">
        <v>0.57024988532066345</v>
      </c>
      <c r="S154" s="2">
        <v>0.58587606309334395</v>
      </c>
      <c r="T154" s="5">
        <f t="shared" ref="T154:V154" si="304">IFERROR(MROUND(Q154,0.2),-MROUND(ABS(Q154),0.2))</f>
        <v>-0.2</v>
      </c>
      <c r="U154" s="5">
        <f t="shared" si="304"/>
        <v>0.60000000000000009</v>
      </c>
      <c r="V154" s="5">
        <f t="shared" si="304"/>
        <v>0.60000000000000009</v>
      </c>
      <c r="W154" s="2">
        <f t="shared" ref="W154:Y154" si="305">Q154^2</f>
        <v>2.7098744268812602E-2</v>
      </c>
      <c r="X154" s="2">
        <f t="shared" si="305"/>
        <v>0.32518493170822982</v>
      </c>
      <c r="Y154" s="2">
        <f t="shared" si="305"/>
        <v>0.34325076130575594</v>
      </c>
    </row>
    <row r="155" spans="1:25" x14ac:dyDescent="0.7">
      <c r="A155" t="s">
        <v>56</v>
      </c>
      <c r="B155" s="3">
        <v>0.64604166666666674</v>
      </c>
      <c r="C155" t="s">
        <v>57</v>
      </c>
      <c r="D155" s="2">
        <v>37.63294333333333</v>
      </c>
      <c r="E155" t="s">
        <v>58</v>
      </c>
      <c r="F155" s="2">
        <v>141.01305499999998</v>
      </c>
      <c r="G155" t="s">
        <v>59</v>
      </c>
      <c r="H155" s="4">
        <v>0</v>
      </c>
      <c r="I155" s="5">
        <v>94.4</v>
      </c>
      <c r="J155">
        <v>170220</v>
      </c>
      <c r="M155" t="s">
        <v>57</v>
      </c>
      <c r="N155" t="s">
        <v>62</v>
      </c>
      <c r="O155" s="2">
        <v>-1.3888888901192331E-6</v>
      </c>
      <c r="P155" s="2">
        <v>6.3888888917063014E-6</v>
      </c>
      <c r="Q155" s="2">
        <v>-0.1646169622754976</v>
      </c>
      <c r="R155" s="2">
        <v>0.57024988532066345</v>
      </c>
      <c r="S155" s="2">
        <v>0.58587606309334395</v>
      </c>
      <c r="T155" s="5">
        <f t="shared" ref="T155:V155" si="306">IFERROR(MROUND(Q155,0.2),-MROUND(ABS(Q155),0.2))</f>
        <v>-0.2</v>
      </c>
      <c r="U155" s="5">
        <f t="shared" si="306"/>
        <v>0.60000000000000009</v>
      </c>
      <c r="V155" s="5">
        <f t="shared" si="306"/>
        <v>0.60000000000000009</v>
      </c>
      <c r="W155" s="2">
        <f t="shared" ref="W155:Y155" si="307">Q155^2</f>
        <v>2.7098744268812602E-2</v>
      </c>
      <c r="X155" s="2">
        <f t="shared" si="307"/>
        <v>0.32518493170822982</v>
      </c>
      <c r="Y155" s="2">
        <f t="shared" si="307"/>
        <v>0.34325076130575594</v>
      </c>
    </row>
    <row r="156" spans="1:25" x14ac:dyDescent="0.7">
      <c r="A156" t="s">
        <v>56</v>
      </c>
      <c r="B156" s="3">
        <v>0.64605324074074078</v>
      </c>
      <c r="C156" t="s">
        <v>57</v>
      </c>
      <c r="D156" s="2">
        <v>37.63294333333333</v>
      </c>
      <c r="E156" t="s">
        <v>58</v>
      </c>
      <c r="F156" s="2">
        <v>141.01305499999998</v>
      </c>
      <c r="G156" t="s">
        <v>59</v>
      </c>
      <c r="H156" s="4">
        <v>0</v>
      </c>
      <c r="I156" s="5">
        <v>94.4</v>
      </c>
      <c r="J156">
        <v>170220</v>
      </c>
      <c r="M156" t="s">
        <v>57</v>
      </c>
      <c r="N156" t="s">
        <v>60</v>
      </c>
      <c r="O156" s="2">
        <v>-1.3888888901192331E-6</v>
      </c>
      <c r="P156" s="2">
        <v>6.3888888917063014E-6</v>
      </c>
      <c r="Q156" s="2">
        <v>-0.1646169622754976</v>
      </c>
      <c r="R156" s="2">
        <v>0.57024988532066345</v>
      </c>
      <c r="S156" s="2">
        <v>0.58587606309334395</v>
      </c>
      <c r="T156" s="5">
        <f t="shared" ref="T156:V156" si="308">IFERROR(MROUND(Q156,0.2),-MROUND(ABS(Q156),0.2))</f>
        <v>-0.2</v>
      </c>
      <c r="U156" s="5">
        <f t="shared" si="308"/>
        <v>0.60000000000000009</v>
      </c>
      <c r="V156" s="5">
        <f t="shared" si="308"/>
        <v>0.60000000000000009</v>
      </c>
      <c r="W156" s="2">
        <f t="shared" ref="W156:Y156" si="309">Q156^2</f>
        <v>2.7098744268812602E-2</v>
      </c>
      <c r="X156" s="2">
        <f t="shared" si="309"/>
        <v>0.32518493170822982</v>
      </c>
      <c r="Y156" s="2">
        <f t="shared" si="309"/>
        <v>0.34325076130575594</v>
      </c>
    </row>
    <row r="157" spans="1:25" x14ac:dyDescent="0.7">
      <c r="A157" t="s">
        <v>56</v>
      </c>
      <c r="B157" s="3">
        <v>0.64677083333333341</v>
      </c>
      <c r="C157" t="s">
        <v>57</v>
      </c>
      <c r="D157" s="2">
        <v>37.632961666666667</v>
      </c>
      <c r="E157" t="s">
        <v>58</v>
      </c>
      <c r="F157" s="2">
        <v>141.01308833333331</v>
      </c>
      <c r="G157" t="s">
        <v>59</v>
      </c>
      <c r="H157" s="4">
        <v>1.1112</v>
      </c>
      <c r="I157" s="5">
        <v>94.4</v>
      </c>
      <c r="J157">
        <v>170220</v>
      </c>
      <c r="M157" t="s">
        <v>57</v>
      </c>
      <c r="N157" t="s">
        <v>68</v>
      </c>
      <c r="O157" s="2">
        <v>-5.4761904806355233E-6</v>
      </c>
      <c r="P157" s="2">
        <v>-3.3333333533391851E-6</v>
      </c>
      <c r="Q157" s="2">
        <v>-0.61594027313272059</v>
      </c>
      <c r="R157" s="2">
        <v>-0.30054807823986107</v>
      </c>
      <c r="S157" s="2">
        <v>0.67873312348330228</v>
      </c>
      <c r="T157" s="5">
        <f t="shared" ref="T157:V157" si="310">IFERROR(MROUND(Q157,0.2),-MROUND(ABS(Q157),0.2))</f>
        <v>-0.60000000000000009</v>
      </c>
      <c r="U157" s="5">
        <f t="shared" si="310"/>
        <v>-0.4</v>
      </c>
      <c r="V157" s="5">
        <f t="shared" si="310"/>
        <v>0.60000000000000009</v>
      </c>
      <c r="W157" s="2">
        <f t="shared" ref="W157:Y157" si="311">Q157^2</f>
        <v>0.37938242006681044</v>
      </c>
      <c r="X157" s="2">
        <f t="shared" si="311"/>
        <v>9.0329147333673657E-2</v>
      </c>
      <c r="Y157" s="2">
        <f t="shared" si="311"/>
        <v>0.46067865291339966</v>
      </c>
    </row>
    <row r="158" spans="1:25" x14ac:dyDescent="0.7">
      <c r="A158" t="s">
        <v>56</v>
      </c>
      <c r="B158" s="3">
        <v>0.64679398148148148</v>
      </c>
      <c r="C158" t="s">
        <v>57</v>
      </c>
      <c r="D158" s="2">
        <v>37.632964999999999</v>
      </c>
      <c r="E158" t="s">
        <v>58</v>
      </c>
      <c r="F158" s="2">
        <v>141.01309000000001</v>
      </c>
      <c r="G158" t="s">
        <v>59</v>
      </c>
      <c r="H158" s="4">
        <v>0</v>
      </c>
      <c r="I158" s="5">
        <v>94.4</v>
      </c>
      <c r="J158">
        <v>170220</v>
      </c>
      <c r="M158" t="s">
        <v>57</v>
      </c>
      <c r="N158" t="s">
        <v>70</v>
      </c>
      <c r="O158" s="2">
        <v>-2.1428571486126202E-6</v>
      </c>
      <c r="P158" s="2">
        <v>-1.6666666624587378E-6</v>
      </c>
      <c r="Q158" s="2">
        <v>-0.23280354079412158</v>
      </c>
      <c r="R158" s="2">
        <v>-0.1646169622754976</v>
      </c>
      <c r="S158" s="2">
        <v>0.28512494266033173</v>
      </c>
      <c r="T158" s="5">
        <f t="shared" ref="T158:V158" si="312">IFERROR(MROUND(Q158,0.2),-MROUND(ABS(Q158),0.2))</f>
        <v>-0.2</v>
      </c>
      <c r="U158" s="5">
        <f t="shared" si="312"/>
        <v>-0.2</v>
      </c>
      <c r="V158" s="5">
        <f t="shared" si="312"/>
        <v>0.2</v>
      </c>
      <c r="W158" s="2">
        <f t="shared" ref="W158:Y158" si="313">Q158^2</f>
        <v>5.4197488606280229E-2</v>
      </c>
      <c r="X158" s="2">
        <f t="shared" si="313"/>
        <v>2.7098744268812602E-2</v>
      </c>
      <c r="Y158" s="2">
        <f t="shared" si="313"/>
        <v>8.1296232927057455E-2</v>
      </c>
    </row>
    <row r="159" spans="1:25" x14ac:dyDescent="0.7">
      <c r="A159" t="s">
        <v>56</v>
      </c>
      <c r="B159" s="3">
        <v>0.64681712962962956</v>
      </c>
      <c r="C159" t="s">
        <v>57</v>
      </c>
      <c r="D159" s="2">
        <v>37.63297</v>
      </c>
      <c r="E159" t="s">
        <v>58</v>
      </c>
      <c r="F159" s="2">
        <v>141.01309166666667</v>
      </c>
      <c r="G159" t="s">
        <v>59</v>
      </c>
      <c r="H159" s="4">
        <v>0.74080000000000013</v>
      </c>
      <c r="I159" s="5">
        <v>94.4</v>
      </c>
      <c r="J159">
        <v>170220</v>
      </c>
      <c r="M159" t="s">
        <v>57</v>
      </c>
      <c r="N159" t="s">
        <v>60</v>
      </c>
      <c r="O159" s="2">
        <v>2.857142852974448E-6</v>
      </c>
      <c r="P159" s="2">
        <v>0</v>
      </c>
      <c r="Q159" s="2">
        <v>0.32923392455099521</v>
      </c>
      <c r="R159" s="2">
        <v>-9.5041647553443909E-2</v>
      </c>
      <c r="S159" s="2">
        <v>0.32923392455099521</v>
      </c>
      <c r="T159" s="5">
        <f t="shared" ref="T159:V159" si="314">IFERROR(MROUND(Q159,0.2),-MROUND(ABS(Q159),0.2))</f>
        <v>0.4</v>
      </c>
      <c r="U159" s="5">
        <f t="shared" si="314"/>
        <v>0</v>
      </c>
      <c r="V159" s="5">
        <f t="shared" si="314"/>
        <v>0.4</v>
      </c>
      <c r="W159" s="2">
        <f t="shared" ref="W159:Y159" si="315">Q159^2</f>
        <v>0.10839497707525041</v>
      </c>
      <c r="X159" s="2">
        <f t="shared" si="315"/>
        <v>9.0329147696730505E-3</v>
      </c>
      <c r="Y159" s="2">
        <f t="shared" si="315"/>
        <v>0.10839497707525041</v>
      </c>
    </row>
    <row r="160" spans="1:25" x14ac:dyDescent="0.7">
      <c r="A160" t="s">
        <v>56</v>
      </c>
      <c r="B160" s="3">
        <v>0.64682870370370371</v>
      </c>
      <c r="C160" t="s">
        <v>57</v>
      </c>
      <c r="D160" s="2">
        <v>37.632973333333332</v>
      </c>
      <c r="E160" t="s">
        <v>58</v>
      </c>
      <c r="F160" s="2">
        <v>141.01309166666667</v>
      </c>
      <c r="G160" t="s">
        <v>59</v>
      </c>
      <c r="H160" s="4">
        <v>0</v>
      </c>
      <c r="I160" s="5">
        <v>94.4</v>
      </c>
      <c r="J160">
        <v>170220</v>
      </c>
      <c r="M160" t="s">
        <v>57</v>
      </c>
      <c r="N160" t="s">
        <v>62</v>
      </c>
      <c r="O160" s="2">
        <v>6.1904761849973511E-6</v>
      </c>
      <c r="P160" s="2">
        <v>0</v>
      </c>
      <c r="Q160" s="2">
        <v>0.69191363758910285</v>
      </c>
      <c r="R160" s="2">
        <v>-9.5041647553443909E-2</v>
      </c>
      <c r="S160" s="2">
        <v>0.69191363758910285</v>
      </c>
      <c r="T160" s="5">
        <f t="shared" ref="T160:V160" si="316">IFERROR(MROUND(Q160,0.2),-MROUND(ABS(Q160),0.2))</f>
        <v>0.60000000000000009</v>
      </c>
      <c r="U160" s="5">
        <f t="shared" si="316"/>
        <v>0</v>
      </c>
      <c r="V160" s="5">
        <f t="shared" si="316"/>
        <v>0.60000000000000009</v>
      </c>
      <c r="W160" s="2">
        <f t="shared" ref="W160:Y160" si="317">Q160^2</f>
        <v>0.47874448188178437</v>
      </c>
      <c r="X160" s="2">
        <f t="shared" si="317"/>
        <v>9.0329147696730505E-3</v>
      </c>
      <c r="Y160" s="2">
        <f t="shared" si="317"/>
        <v>0.47874448188178437</v>
      </c>
    </row>
    <row r="161" spans="1:25" x14ac:dyDescent="0.7">
      <c r="A161" t="s">
        <v>56</v>
      </c>
      <c r="B161" s="3">
        <v>0.64684027777777775</v>
      </c>
      <c r="C161" t="s">
        <v>57</v>
      </c>
      <c r="D161" s="2">
        <v>37.632975000000002</v>
      </c>
      <c r="E161" t="s">
        <v>58</v>
      </c>
      <c r="F161" s="2">
        <v>141.01309166666667</v>
      </c>
      <c r="G161" t="s">
        <v>59</v>
      </c>
      <c r="H161" s="4">
        <v>0</v>
      </c>
      <c r="I161" s="5">
        <v>94.4</v>
      </c>
      <c r="J161">
        <v>170220</v>
      </c>
      <c r="M161" t="s">
        <v>57</v>
      </c>
      <c r="N161" t="s">
        <v>62</v>
      </c>
      <c r="O161" s="2">
        <v>7.8571428545615163E-6</v>
      </c>
      <c r="P161" s="2">
        <v>0</v>
      </c>
      <c r="Q161" s="2">
        <v>0.87624069473429489</v>
      </c>
      <c r="R161" s="2">
        <v>-9.5041647553443909E-2</v>
      </c>
      <c r="S161" s="2">
        <v>0.87624069473429489</v>
      </c>
      <c r="T161" s="5">
        <f t="shared" ref="T161:V161" si="318">IFERROR(MROUND(Q161,0.2),-MROUND(ABS(Q161),0.2))</f>
        <v>0.8</v>
      </c>
      <c r="U161" s="5">
        <f t="shared" si="318"/>
        <v>0</v>
      </c>
      <c r="V161" s="5">
        <f t="shared" si="318"/>
        <v>0.8</v>
      </c>
      <c r="W161" s="2">
        <f t="shared" ref="W161:Y161" si="319">Q161^2</f>
        <v>0.76779775510843973</v>
      </c>
      <c r="X161" s="2">
        <f t="shared" si="319"/>
        <v>9.0329147696730505E-3</v>
      </c>
      <c r="Y161" s="2">
        <f t="shared" si="319"/>
        <v>0.76779775510843973</v>
      </c>
    </row>
    <row r="162" spans="1:25" x14ac:dyDescent="0.7">
      <c r="A162" t="s">
        <v>56</v>
      </c>
      <c r="B162" s="3">
        <v>0.64686342592592594</v>
      </c>
      <c r="C162" t="s">
        <v>57</v>
      </c>
      <c r="D162" s="2">
        <v>37.632976666666664</v>
      </c>
      <c r="E162" t="s">
        <v>58</v>
      </c>
      <c r="F162" s="2">
        <v>141.01309000000001</v>
      </c>
      <c r="G162" t="s">
        <v>59</v>
      </c>
      <c r="H162" s="4">
        <v>0.37040000000000006</v>
      </c>
      <c r="I162" s="5">
        <v>94.4</v>
      </c>
      <c r="J162">
        <v>170220</v>
      </c>
      <c r="M162" t="s">
        <v>57</v>
      </c>
      <c r="N162" t="s">
        <v>61</v>
      </c>
      <c r="O162" s="2">
        <v>9.5238095170202541E-6</v>
      </c>
      <c r="P162" s="2">
        <v>-1.6666666624587378E-6</v>
      </c>
      <c r="Q162" s="2">
        <v>1.0625979231381273</v>
      </c>
      <c r="R162" s="2">
        <v>-0.1646169622754976</v>
      </c>
      <c r="S162" s="2">
        <v>1.0710649729339645</v>
      </c>
      <c r="T162" s="5">
        <f t="shared" ref="T162:V162" si="320">IFERROR(MROUND(Q162,0.2),-MROUND(ABS(Q162),0.2))</f>
        <v>1</v>
      </c>
      <c r="U162" s="5">
        <f t="shared" si="320"/>
        <v>-0.2</v>
      </c>
      <c r="V162" s="5">
        <f t="shared" si="320"/>
        <v>1</v>
      </c>
      <c r="W162" s="2">
        <f t="shared" ref="W162:Y162" si="321">Q162^2</f>
        <v>1.1291143462574615</v>
      </c>
      <c r="X162" s="2">
        <f t="shared" si="321"/>
        <v>2.7098744268812602E-2</v>
      </c>
      <c r="Y162" s="2">
        <f t="shared" si="321"/>
        <v>1.1471801762460341</v>
      </c>
    </row>
    <row r="163" spans="1:25" x14ac:dyDescent="0.7">
      <c r="A163" t="s">
        <v>56</v>
      </c>
      <c r="B163" s="3">
        <v>0.64687499999999998</v>
      </c>
      <c r="C163" t="s">
        <v>57</v>
      </c>
      <c r="D163" s="2">
        <v>37.632976666666664</v>
      </c>
      <c r="E163" t="s">
        <v>58</v>
      </c>
      <c r="F163" s="2">
        <v>141.01309000000001</v>
      </c>
      <c r="G163" t="s">
        <v>59</v>
      </c>
      <c r="H163" s="4">
        <v>0.37040000000000006</v>
      </c>
      <c r="I163" s="5">
        <v>94.4</v>
      </c>
      <c r="J163">
        <v>170220</v>
      </c>
      <c r="M163" t="s">
        <v>57</v>
      </c>
      <c r="N163" t="s">
        <v>70</v>
      </c>
      <c r="O163" s="2">
        <v>9.5238095170202541E-6</v>
      </c>
      <c r="P163" s="2">
        <v>-1.6666666624587378E-6</v>
      </c>
      <c r="Q163" s="2">
        <v>1.0625979231381273</v>
      </c>
      <c r="R163" s="2">
        <v>-0.1646169622754976</v>
      </c>
      <c r="S163" s="2">
        <v>1.0710649729339645</v>
      </c>
      <c r="T163" s="5">
        <f t="shared" ref="T163:V163" si="322">IFERROR(MROUND(Q163,0.2),-MROUND(ABS(Q163),0.2))</f>
        <v>1</v>
      </c>
      <c r="U163" s="5">
        <f t="shared" si="322"/>
        <v>-0.2</v>
      </c>
      <c r="V163" s="5">
        <f t="shared" si="322"/>
        <v>1</v>
      </c>
      <c r="W163" s="2">
        <f t="shared" ref="W163:Y163" si="323">Q163^2</f>
        <v>1.1291143462574615</v>
      </c>
      <c r="X163" s="2">
        <f t="shared" si="323"/>
        <v>2.7098744268812602E-2</v>
      </c>
      <c r="Y163" s="2">
        <f t="shared" si="323"/>
        <v>1.1471801762460341</v>
      </c>
    </row>
    <row r="164" spans="1:25" x14ac:dyDescent="0.7">
      <c r="A164" t="s">
        <v>56</v>
      </c>
      <c r="B164" s="3">
        <v>0.64688657407407402</v>
      </c>
      <c r="C164" t="s">
        <v>57</v>
      </c>
      <c r="D164" s="2">
        <v>37.632975000000002</v>
      </c>
      <c r="E164" t="s">
        <v>58</v>
      </c>
      <c r="F164" s="2">
        <v>141.01309166666667</v>
      </c>
      <c r="G164" t="s">
        <v>59</v>
      </c>
      <c r="H164" s="4">
        <v>0</v>
      </c>
      <c r="I164" s="5">
        <v>94.4</v>
      </c>
      <c r="J164">
        <v>170220</v>
      </c>
      <c r="M164" t="s">
        <v>57</v>
      </c>
      <c r="N164" t="s">
        <v>69</v>
      </c>
      <c r="O164" s="2">
        <v>7.8571428545615163E-6</v>
      </c>
      <c r="P164" s="2">
        <v>0</v>
      </c>
      <c r="Q164" s="2">
        <v>0.87624069473429489</v>
      </c>
      <c r="R164" s="2">
        <v>-9.5041647553443909E-2</v>
      </c>
      <c r="S164" s="2">
        <v>0.87624069473429489</v>
      </c>
      <c r="T164" s="5">
        <f t="shared" ref="T164:V164" si="324">IFERROR(MROUND(Q164,0.2),-MROUND(ABS(Q164),0.2))</f>
        <v>0.8</v>
      </c>
      <c r="U164" s="5">
        <f t="shared" si="324"/>
        <v>0</v>
      </c>
      <c r="V164" s="5">
        <f t="shared" si="324"/>
        <v>0.8</v>
      </c>
      <c r="W164" s="2">
        <f t="shared" ref="W164:Y164" si="325">Q164^2</f>
        <v>0.76779775510843973</v>
      </c>
      <c r="X164" s="2">
        <f t="shared" si="325"/>
        <v>9.0329147696730505E-3</v>
      </c>
      <c r="Y164" s="2">
        <f t="shared" si="325"/>
        <v>0.76779775510843973</v>
      </c>
    </row>
    <row r="165" spans="1:25" x14ac:dyDescent="0.7">
      <c r="A165" t="s">
        <v>56</v>
      </c>
      <c r="B165" s="3">
        <v>0.64692129629629636</v>
      </c>
      <c r="C165" t="s">
        <v>57</v>
      </c>
      <c r="D165" s="2">
        <v>37.63297166666667</v>
      </c>
      <c r="E165" t="s">
        <v>58</v>
      </c>
      <c r="F165" s="2">
        <v>141.01309166666667</v>
      </c>
      <c r="G165" t="s">
        <v>59</v>
      </c>
      <c r="H165" s="4">
        <v>0</v>
      </c>
      <c r="I165" s="5">
        <v>94.4</v>
      </c>
      <c r="J165">
        <v>170220</v>
      </c>
      <c r="M165" t="s">
        <v>57</v>
      </c>
      <c r="N165" t="s">
        <v>90</v>
      </c>
      <c r="O165" s="2">
        <v>4.5238095225386132E-6</v>
      </c>
      <c r="P165" s="2">
        <v>0</v>
      </c>
      <c r="Q165" s="2">
        <v>0.50291312748962591</v>
      </c>
      <c r="R165" s="2">
        <v>-9.5041647553443909E-2</v>
      </c>
      <c r="S165" s="2">
        <v>0.50291312748962591</v>
      </c>
      <c r="T165" s="5">
        <f t="shared" ref="T165:V165" si="326">IFERROR(MROUND(Q165,0.2),-MROUND(ABS(Q165),0.2))</f>
        <v>0.60000000000000009</v>
      </c>
      <c r="U165" s="5">
        <f t="shared" si="326"/>
        <v>0</v>
      </c>
      <c r="V165" s="5">
        <f t="shared" si="326"/>
        <v>0.60000000000000009</v>
      </c>
      <c r="W165" s="2">
        <f t="shared" ref="W165:Y165" si="327">Q165^2</f>
        <v>0.25292161380139672</v>
      </c>
      <c r="X165" s="2">
        <f t="shared" si="327"/>
        <v>9.0329147696730505E-3</v>
      </c>
      <c r="Y165" s="2">
        <f t="shared" si="327"/>
        <v>0.25292161380139672</v>
      </c>
    </row>
    <row r="166" spans="1:25" x14ac:dyDescent="0.7">
      <c r="A166" t="s">
        <v>56</v>
      </c>
      <c r="B166" s="3">
        <v>0.64693287037037039</v>
      </c>
      <c r="C166" t="s">
        <v>57</v>
      </c>
      <c r="D166" s="2">
        <v>37.63297166666667</v>
      </c>
      <c r="E166" t="s">
        <v>58</v>
      </c>
      <c r="F166" s="2">
        <v>141.01309166666667</v>
      </c>
      <c r="G166" t="s">
        <v>59</v>
      </c>
      <c r="H166" s="4">
        <v>0</v>
      </c>
      <c r="I166" s="5">
        <v>94.4</v>
      </c>
      <c r="J166">
        <v>170220</v>
      </c>
      <c r="M166" t="s">
        <v>57</v>
      </c>
      <c r="N166" t="s">
        <v>91</v>
      </c>
      <c r="O166" s="2">
        <v>4.5238095225386132E-6</v>
      </c>
      <c r="P166" s="2">
        <v>0</v>
      </c>
      <c r="Q166" s="2">
        <v>0.50291312748962591</v>
      </c>
      <c r="R166" s="2">
        <v>-9.5041647553443909E-2</v>
      </c>
      <c r="S166" s="2">
        <v>0.50291312748962591</v>
      </c>
      <c r="T166" s="5">
        <f t="shared" ref="T166:V166" si="328">IFERROR(MROUND(Q166,0.2),-MROUND(ABS(Q166),0.2))</f>
        <v>0.60000000000000009</v>
      </c>
      <c r="U166" s="5">
        <f t="shared" si="328"/>
        <v>0</v>
      </c>
      <c r="V166" s="5">
        <f t="shared" si="328"/>
        <v>0.60000000000000009</v>
      </c>
      <c r="W166" s="2">
        <f t="shared" ref="W166:Y166" si="329">Q166^2</f>
        <v>0.25292161380139672</v>
      </c>
      <c r="X166" s="2">
        <f t="shared" si="329"/>
        <v>9.0329147696730505E-3</v>
      </c>
      <c r="Y166" s="2">
        <f t="shared" si="329"/>
        <v>0.25292161380139672</v>
      </c>
    </row>
    <row r="167" spans="1:25" x14ac:dyDescent="0.7">
      <c r="A167" t="s">
        <v>56</v>
      </c>
      <c r="B167" s="3">
        <v>0.64701388888888889</v>
      </c>
      <c r="C167" t="s">
        <v>57</v>
      </c>
      <c r="D167" s="2">
        <v>37.632958333333335</v>
      </c>
      <c r="E167" t="s">
        <v>58</v>
      </c>
      <c r="F167" s="2">
        <v>141.01309333333333</v>
      </c>
      <c r="G167" t="s">
        <v>59</v>
      </c>
      <c r="H167" s="4">
        <v>0.37040000000000006</v>
      </c>
      <c r="I167" s="5">
        <v>113.8</v>
      </c>
      <c r="J167">
        <v>170220</v>
      </c>
      <c r="M167" t="s">
        <v>57</v>
      </c>
      <c r="N167" t="s">
        <v>72</v>
      </c>
      <c r="O167" s="2">
        <v>-8.8095238126584263E-6</v>
      </c>
      <c r="P167" s="2">
        <v>1.6666666624587378E-6</v>
      </c>
      <c r="Q167" s="2">
        <v>-0.97851365130538848</v>
      </c>
      <c r="R167" s="2">
        <v>0.1646169622754976</v>
      </c>
      <c r="S167" s="2">
        <v>0.99226393068495189</v>
      </c>
      <c r="T167" s="5">
        <f t="shared" ref="T167:V167" si="330">IFERROR(MROUND(Q167,0.2),-MROUND(ABS(Q167),0.2))</f>
        <v>-1</v>
      </c>
      <c r="U167" s="5">
        <f t="shared" si="330"/>
        <v>0.2</v>
      </c>
      <c r="V167" s="5">
        <f t="shared" si="330"/>
        <v>1</v>
      </c>
      <c r="W167" s="2">
        <f t="shared" ref="W167:Y167" si="331">Q167^2</f>
        <v>0.9574889657910034</v>
      </c>
      <c r="X167" s="2">
        <f t="shared" si="331"/>
        <v>2.7098744268812602E-2</v>
      </c>
      <c r="Y167" s="2">
        <f t="shared" si="331"/>
        <v>0.98458770813835106</v>
      </c>
    </row>
    <row r="168" spans="1:25" x14ac:dyDescent="0.7">
      <c r="A168" t="s">
        <v>56</v>
      </c>
      <c r="B168" s="3">
        <v>0.64702546296296293</v>
      </c>
      <c r="C168" t="s">
        <v>57</v>
      </c>
      <c r="D168" s="2">
        <v>37.632958333333335</v>
      </c>
      <c r="E168" t="s">
        <v>58</v>
      </c>
      <c r="F168" s="2">
        <v>141.01309166666667</v>
      </c>
      <c r="G168" t="s">
        <v>59</v>
      </c>
      <c r="H168" s="4">
        <v>0</v>
      </c>
      <c r="I168" s="5">
        <v>113.8</v>
      </c>
      <c r="J168">
        <v>170220</v>
      </c>
      <c r="M168" t="s">
        <v>57</v>
      </c>
      <c r="N168" t="s">
        <v>72</v>
      </c>
      <c r="O168" s="2">
        <v>-8.8095238126584263E-6</v>
      </c>
      <c r="P168" s="2">
        <v>0</v>
      </c>
      <c r="Q168" s="2">
        <v>-0.97851365130538848</v>
      </c>
      <c r="R168" s="2">
        <v>-9.5041647553443909E-2</v>
      </c>
      <c r="S168" s="2">
        <v>0.97851365130538848</v>
      </c>
      <c r="T168" s="5">
        <f t="shared" ref="T168:V168" si="332">IFERROR(MROUND(Q168,0.2),-MROUND(ABS(Q168),0.2))</f>
        <v>-1</v>
      </c>
      <c r="U168" s="5">
        <f t="shared" si="332"/>
        <v>0</v>
      </c>
      <c r="V168" s="5">
        <f t="shared" si="332"/>
        <v>1</v>
      </c>
      <c r="W168" s="2">
        <f t="shared" ref="W168:Y168" si="333">Q168^2</f>
        <v>0.9574889657910034</v>
      </c>
      <c r="X168" s="2">
        <f t="shared" si="333"/>
        <v>9.0329147696730505E-3</v>
      </c>
      <c r="Y168" s="2">
        <f t="shared" si="333"/>
        <v>0.9574889657910034</v>
      </c>
    </row>
    <row r="169" spans="1:25" x14ac:dyDescent="0.7">
      <c r="A169" t="s">
        <v>56</v>
      </c>
      <c r="B169" s="3">
        <v>0.64703703703703697</v>
      </c>
      <c r="C169" t="s">
        <v>57</v>
      </c>
      <c r="D169" s="2">
        <v>37.632956666666672</v>
      </c>
      <c r="E169" t="s">
        <v>58</v>
      </c>
      <c r="F169" s="2">
        <v>141.01309333333333</v>
      </c>
      <c r="G169" t="s">
        <v>59</v>
      </c>
      <c r="H169" s="4">
        <v>0</v>
      </c>
      <c r="I169" s="5">
        <v>113.8</v>
      </c>
      <c r="J169">
        <v>170220</v>
      </c>
      <c r="M169" t="s">
        <v>57</v>
      </c>
      <c r="N169" t="s">
        <v>73</v>
      </c>
      <c r="O169" s="2">
        <v>-1.0476190475117164E-5</v>
      </c>
      <c r="P169" s="2">
        <v>1.6666666624587378E-6</v>
      </c>
      <c r="Q169" s="2">
        <v>-1.1678913178585935</v>
      </c>
      <c r="R169" s="2">
        <v>0.1646169622754976</v>
      </c>
      <c r="S169" s="2">
        <v>1.1756002549994422</v>
      </c>
      <c r="T169" s="5">
        <f t="shared" ref="T169:V169" si="334">IFERROR(MROUND(Q169,0.2),-MROUND(ABS(Q169),0.2))</f>
        <v>-1.2000000000000002</v>
      </c>
      <c r="U169" s="5">
        <f t="shared" si="334"/>
        <v>0.2</v>
      </c>
      <c r="V169" s="5">
        <f t="shared" si="334"/>
        <v>1.2000000000000002</v>
      </c>
      <c r="W169" s="2">
        <f t="shared" ref="W169:Y169" si="335">Q169^2</f>
        <v>1.3639701303294822</v>
      </c>
      <c r="X169" s="2">
        <f t="shared" si="335"/>
        <v>2.7098744268812602E-2</v>
      </c>
      <c r="Y169" s="2">
        <f t="shared" si="335"/>
        <v>1.3820359595547536</v>
      </c>
    </row>
    <row r="170" spans="1:25" x14ac:dyDescent="0.7">
      <c r="A170" t="s">
        <v>56</v>
      </c>
      <c r="B170" s="3">
        <v>0.6470717592592593</v>
      </c>
      <c r="C170" t="s">
        <v>57</v>
      </c>
      <c r="D170" s="2">
        <v>37.632950000000001</v>
      </c>
      <c r="E170" t="s">
        <v>58</v>
      </c>
      <c r="F170" s="2">
        <v>141.01309666666666</v>
      </c>
      <c r="G170" t="s">
        <v>59</v>
      </c>
      <c r="H170" s="4">
        <v>0.37040000000000006</v>
      </c>
      <c r="I170" s="5">
        <v>113.8</v>
      </c>
      <c r="J170">
        <v>170220</v>
      </c>
      <c r="M170" t="s">
        <v>57</v>
      </c>
      <c r="N170" t="s">
        <v>78</v>
      </c>
      <c r="O170" s="2">
        <v>-1.7142857146268398E-5</v>
      </c>
      <c r="P170" s="2">
        <v>4.9999999873762135E-6</v>
      </c>
      <c r="Q170" s="2">
        <v>-1.9103134726989133</v>
      </c>
      <c r="R170" s="2">
        <v>0.4457848410576839</v>
      </c>
      <c r="S170" s="2">
        <v>1.9593337578603267</v>
      </c>
      <c r="T170" s="5">
        <f t="shared" ref="T170:V170" si="336">IFERROR(MROUND(Q170,0.2),-MROUND(ABS(Q170),0.2))</f>
        <v>-2</v>
      </c>
      <c r="U170" s="5">
        <f t="shared" si="336"/>
        <v>0.4</v>
      </c>
      <c r="V170" s="5">
        <f t="shared" si="336"/>
        <v>2</v>
      </c>
      <c r="W170" s="2">
        <f t="shared" ref="W170:Y170" si="337">Q170^2</f>
        <v>3.6492975639749816</v>
      </c>
      <c r="X170" s="2">
        <f t="shared" si="337"/>
        <v>0.1987241245168245</v>
      </c>
      <c r="Y170" s="2">
        <f t="shared" si="337"/>
        <v>3.8389887746910696</v>
      </c>
    </row>
    <row r="171" spans="1:25" x14ac:dyDescent="0.7">
      <c r="A171" t="s">
        <v>56</v>
      </c>
      <c r="B171" s="3">
        <v>0.64780092592592597</v>
      </c>
      <c r="C171" t="s">
        <v>57</v>
      </c>
      <c r="D171" s="2">
        <v>37.63294333333333</v>
      </c>
      <c r="E171" t="s">
        <v>58</v>
      </c>
      <c r="F171" s="2">
        <v>141.01317</v>
      </c>
      <c r="G171" t="s">
        <v>59</v>
      </c>
      <c r="H171" s="4">
        <v>0.74080000000000013</v>
      </c>
      <c r="I171" s="5">
        <v>88.2</v>
      </c>
      <c r="J171">
        <v>170220</v>
      </c>
      <c r="M171" t="s">
        <v>57</v>
      </c>
      <c r="N171" t="s">
        <v>66</v>
      </c>
      <c r="O171" s="2">
        <v>-8.6231884210974385E-6</v>
      </c>
      <c r="P171" s="2">
        <v>3.7681159028579714E-6</v>
      </c>
      <c r="Q171" s="2">
        <v>-0.95987358828375746</v>
      </c>
      <c r="R171" s="2">
        <v>0.32923392455099521</v>
      </c>
      <c r="S171" s="2">
        <v>1.0147671076585993</v>
      </c>
      <c r="T171" s="5">
        <f t="shared" ref="T171:V171" si="338">IFERROR(MROUND(Q171,0.2),-MROUND(ABS(Q171),0.2))</f>
        <v>-1</v>
      </c>
      <c r="U171" s="5">
        <f t="shared" si="338"/>
        <v>0.4</v>
      </c>
      <c r="V171" s="5">
        <f t="shared" si="338"/>
        <v>1</v>
      </c>
      <c r="W171" s="2">
        <f t="shared" ref="W171:Y171" si="339">Q171^2</f>
        <v>0.92135730548473638</v>
      </c>
      <c r="X171" s="2">
        <f t="shared" si="339"/>
        <v>0.10839497707525041</v>
      </c>
      <c r="Y171" s="2">
        <f t="shared" si="339"/>
        <v>1.0297522827857994</v>
      </c>
    </row>
    <row r="172" spans="1:25" x14ac:dyDescent="0.7">
      <c r="A172" t="s">
        <v>56</v>
      </c>
      <c r="B172" s="3">
        <v>0.64781250000000001</v>
      </c>
      <c r="C172" t="s">
        <v>57</v>
      </c>
      <c r="D172" s="2">
        <v>37.632944999999999</v>
      </c>
      <c r="E172" t="s">
        <v>58</v>
      </c>
      <c r="F172" s="2">
        <v>141.01317</v>
      </c>
      <c r="G172" t="s">
        <v>59</v>
      </c>
      <c r="H172" s="4">
        <v>0</v>
      </c>
      <c r="I172" s="5">
        <v>88.2</v>
      </c>
      <c r="J172">
        <v>170220</v>
      </c>
      <c r="M172" t="s">
        <v>57</v>
      </c>
      <c r="N172" t="s">
        <v>70</v>
      </c>
      <c r="O172" s="2">
        <v>-6.9565217515332733E-6</v>
      </c>
      <c r="P172" s="2">
        <v>3.7681159028579714E-6</v>
      </c>
      <c r="Q172" s="2">
        <v>-0.77794941330210632</v>
      </c>
      <c r="R172" s="2">
        <v>0.32923392455099521</v>
      </c>
      <c r="S172" s="2">
        <v>0.84474864069113087</v>
      </c>
      <c r="T172" s="5">
        <f t="shared" ref="T172:V172" si="340">IFERROR(MROUND(Q172,0.2),-MROUND(ABS(Q172),0.2))</f>
        <v>-0.8</v>
      </c>
      <c r="U172" s="5">
        <f t="shared" si="340"/>
        <v>0.4</v>
      </c>
      <c r="V172" s="5">
        <f t="shared" si="340"/>
        <v>0.8</v>
      </c>
      <c r="W172" s="2">
        <f t="shared" ref="W172:Y172" si="341">Q172^2</f>
        <v>0.60520528965709142</v>
      </c>
      <c r="X172" s="2">
        <f t="shared" si="341"/>
        <v>0.10839497707525041</v>
      </c>
      <c r="Y172" s="2">
        <f t="shared" si="341"/>
        <v>0.71360026594951331</v>
      </c>
    </row>
    <row r="173" spans="1:25" x14ac:dyDescent="0.7">
      <c r="A173" t="s">
        <v>56</v>
      </c>
      <c r="B173" s="3">
        <v>0.64782407407407405</v>
      </c>
      <c r="C173" t="s">
        <v>57</v>
      </c>
      <c r="D173" s="2">
        <v>37.632946666666662</v>
      </c>
      <c r="E173" t="s">
        <v>58</v>
      </c>
      <c r="F173" s="2">
        <v>141.01317</v>
      </c>
      <c r="G173" t="s">
        <v>59</v>
      </c>
      <c r="H173" s="4">
        <v>0</v>
      </c>
      <c r="I173" s="5">
        <v>88.2</v>
      </c>
      <c r="J173">
        <v>170220</v>
      </c>
      <c r="M173" t="s">
        <v>57</v>
      </c>
      <c r="N173" t="s">
        <v>67</v>
      </c>
      <c r="O173" s="2">
        <v>-5.2898550890745355E-6</v>
      </c>
      <c r="P173" s="2">
        <v>3.7681159028579714E-6</v>
      </c>
      <c r="Q173" s="2">
        <v>-0.59353489823327821</v>
      </c>
      <c r="R173" s="2">
        <v>0.32923392455099521</v>
      </c>
      <c r="S173" s="2">
        <v>0.67873312348330228</v>
      </c>
      <c r="T173" s="5">
        <f t="shared" ref="T173:V173" si="342">IFERROR(MROUND(Q173,0.2),-MROUND(ABS(Q173),0.2))</f>
        <v>-0.60000000000000009</v>
      </c>
      <c r="U173" s="5">
        <f t="shared" si="342"/>
        <v>0.4</v>
      </c>
      <c r="V173" s="5">
        <f t="shared" si="342"/>
        <v>0.60000000000000009</v>
      </c>
      <c r="W173" s="2">
        <f t="shared" ref="W173:Y173" si="343">Q173^2</f>
        <v>0.35228367542078792</v>
      </c>
      <c r="X173" s="2">
        <f t="shared" si="343"/>
        <v>0.10839497707525041</v>
      </c>
      <c r="Y173" s="2">
        <f t="shared" si="343"/>
        <v>0.46067865291339966</v>
      </c>
    </row>
    <row r="174" spans="1:25" x14ac:dyDescent="0.7">
      <c r="A174" t="s">
        <v>56</v>
      </c>
      <c r="B174" s="3">
        <v>0.64783564814814809</v>
      </c>
      <c r="C174" t="s">
        <v>57</v>
      </c>
      <c r="D174" s="2">
        <v>37.632946666666662</v>
      </c>
      <c r="E174" t="s">
        <v>58</v>
      </c>
      <c r="F174" s="2">
        <v>141.01317</v>
      </c>
      <c r="G174" t="s">
        <v>59</v>
      </c>
      <c r="H174" s="4">
        <v>0</v>
      </c>
      <c r="I174" s="5">
        <v>88.2</v>
      </c>
      <c r="J174">
        <v>170220</v>
      </c>
      <c r="M174" t="s">
        <v>57</v>
      </c>
      <c r="N174" t="s">
        <v>68</v>
      </c>
      <c r="O174" s="2">
        <v>-5.2898550890745355E-6</v>
      </c>
      <c r="P174" s="2">
        <v>3.7681159028579714E-6</v>
      </c>
      <c r="Q174" s="2">
        <v>-0.59353489823327821</v>
      </c>
      <c r="R174" s="2">
        <v>0.32923392455099521</v>
      </c>
      <c r="S174" s="2">
        <v>0.67873312348330228</v>
      </c>
      <c r="T174" s="5">
        <f t="shared" ref="T174:V174" si="344">IFERROR(MROUND(Q174,0.2),-MROUND(ABS(Q174),0.2))</f>
        <v>-0.60000000000000009</v>
      </c>
      <c r="U174" s="5">
        <f t="shared" si="344"/>
        <v>0.4</v>
      </c>
      <c r="V174" s="5">
        <f t="shared" si="344"/>
        <v>0.60000000000000009</v>
      </c>
      <c r="W174" s="2">
        <f t="shared" ref="W174:Y174" si="345">Q174^2</f>
        <v>0.35228367542078792</v>
      </c>
      <c r="X174" s="2">
        <f t="shared" si="345"/>
        <v>0.10839497707525041</v>
      </c>
      <c r="Y174" s="2">
        <f t="shared" si="345"/>
        <v>0.46067865291339966</v>
      </c>
    </row>
    <row r="175" spans="1:25" x14ac:dyDescent="0.7">
      <c r="A175" t="s">
        <v>56</v>
      </c>
      <c r="B175" s="3">
        <v>0.64784722222222224</v>
      </c>
      <c r="C175" t="s">
        <v>57</v>
      </c>
      <c r="D175" s="2">
        <v>37.632944999999999</v>
      </c>
      <c r="E175" t="s">
        <v>58</v>
      </c>
      <c r="F175" s="2">
        <v>141.01316833333334</v>
      </c>
      <c r="G175" t="s">
        <v>59</v>
      </c>
      <c r="H175" s="4">
        <v>0</v>
      </c>
      <c r="I175" s="5">
        <v>88.2</v>
      </c>
      <c r="J175">
        <v>170220</v>
      </c>
      <c r="M175" t="s">
        <v>57</v>
      </c>
      <c r="N175" t="s">
        <v>62</v>
      </c>
      <c r="O175" s="2">
        <v>-6.9565217515332733E-6</v>
      </c>
      <c r="P175" s="2">
        <v>2.1014492403992335E-6</v>
      </c>
      <c r="Q175" s="2">
        <v>-0.77794941330210632</v>
      </c>
      <c r="R175" s="2">
        <v>0.19008329510688782</v>
      </c>
      <c r="S175" s="2">
        <v>0.80083515673155925</v>
      </c>
      <c r="T175" s="5">
        <f t="shared" ref="T175:V175" si="346">IFERROR(MROUND(Q175,0.2),-MROUND(ABS(Q175),0.2))</f>
        <v>-0.8</v>
      </c>
      <c r="U175" s="5">
        <f t="shared" si="346"/>
        <v>0.2</v>
      </c>
      <c r="V175" s="5">
        <f t="shared" si="346"/>
        <v>0.8</v>
      </c>
      <c r="W175" s="2">
        <f t="shared" ref="W175:Y175" si="347">Q175^2</f>
        <v>0.60520528965709142</v>
      </c>
      <c r="X175" s="2">
        <f t="shared" si="347"/>
        <v>3.6131659078692202E-2</v>
      </c>
      <c r="Y175" s="2">
        <f t="shared" si="347"/>
        <v>0.64133694825726106</v>
      </c>
    </row>
    <row r="176" spans="1:25" x14ac:dyDescent="0.7">
      <c r="A176" t="s">
        <v>56</v>
      </c>
      <c r="B176" s="3">
        <v>0.64785879629629628</v>
      </c>
      <c r="C176" t="s">
        <v>57</v>
      </c>
      <c r="D176" s="2">
        <v>37.632944999999999</v>
      </c>
      <c r="E176" t="s">
        <v>58</v>
      </c>
      <c r="F176" s="2">
        <v>141.01316833333334</v>
      </c>
      <c r="G176" t="s">
        <v>59</v>
      </c>
      <c r="H176" s="4">
        <v>0</v>
      </c>
      <c r="I176" s="5">
        <v>88.2</v>
      </c>
      <c r="J176">
        <v>170220</v>
      </c>
      <c r="M176" t="s">
        <v>57</v>
      </c>
      <c r="N176" t="s">
        <v>60</v>
      </c>
      <c r="O176" s="2">
        <v>-6.9565217515332733E-6</v>
      </c>
      <c r="P176" s="2">
        <v>2.1014492403992335E-6</v>
      </c>
      <c r="Q176" s="2">
        <v>-0.77794941330210632</v>
      </c>
      <c r="R176" s="2">
        <v>0.19008329510688782</v>
      </c>
      <c r="S176" s="2">
        <v>0.80083515673155925</v>
      </c>
      <c r="T176" s="5">
        <f t="shared" ref="T176:V176" si="348">IFERROR(MROUND(Q176,0.2),-MROUND(ABS(Q176),0.2))</f>
        <v>-0.8</v>
      </c>
      <c r="U176" s="5">
        <f t="shared" si="348"/>
        <v>0.2</v>
      </c>
      <c r="V176" s="5">
        <f t="shared" si="348"/>
        <v>0.8</v>
      </c>
      <c r="W176" s="2">
        <f t="shared" ref="W176:Y176" si="349">Q176^2</f>
        <v>0.60520528965709142</v>
      </c>
      <c r="X176" s="2">
        <f t="shared" si="349"/>
        <v>3.6131659078692202E-2</v>
      </c>
      <c r="Y176" s="2">
        <f t="shared" si="349"/>
        <v>0.64133694825726106</v>
      </c>
    </row>
    <row r="177" spans="1:25" x14ac:dyDescent="0.7">
      <c r="A177" t="s">
        <v>56</v>
      </c>
      <c r="B177" s="3">
        <v>0.64788194444444447</v>
      </c>
      <c r="C177" t="s">
        <v>57</v>
      </c>
      <c r="D177" s="2">
        <v>37.632944999999999</v>
      </c>
      <c r="E177" t="s">
        <v>58</v>
      </c>
      <c r="F177" s="2">
        <v>141.01316833333334</v>
      </c>
      <c r="G177" t="s">
        <v>59</v>
      </c>
      <c r="H177" s="4">
        <v>0.37040000000000006</v>
      </c>
      <c r="I177" s="5">
        <v>88.2</v>
      </c>
      <c r="J177">
        <v>170220</v>
      </c>
      <c r="M177" t="s">
        <v>57</v>
      </c>
      <c r="N177" t="s">
        <v>60</v>
      </c>
      <c r="O177" s="2">
        <v>-6.9565217515332733E-6</v>
      </c>
      <c r="P177" s="2">
        <v>2.1014492403992335E-6</v>
      </c>
      <c r="Q177" s="2">
        <v>-0.77794941330210632</v>
      </c>
      <c r="R177" s="2">
        <v>0.19008329510688782</v>
      </c>
      <c r="S177" s="2">
        <v>0.80083515673155925</v>
      </c>
      <c r="T177" s="5">
        <f t="shared" ref="T177:V177" si="350">IFERROR(MROUND(Q177,0.2),-MROUND(ABS(Q177),0.2))</f>
        <v>-0.8</v>
      </c>
      <c r="U177" s="5">
        <f t="shared" si="350"/>
        <v>0.2</v>
      </c>
      <c r="V177" s="5">
        <f t="shared" si="350"/>
        <v>0.8</v>
      </c>
      <c r="W177" s="2">
        <f t="shared" ref="W177:Y177" si="351">Q177^2</f>
        <v>0.60520528965709142</v>
      </c>
      <c r="X177" s="2">
        <f t="shared" si="351"/>
        <v>3.6131659078692202E-2</v>
      </c>
      <c r="Y177" s="2">
        <f t="shared" si="351"/>
        <v>0.64133694825726106</v>
      </c>
    </row>
    <row r="178" spans="1:25" x14ac:dyDescent="0.7">
      <c r="A178" t="s">
        <v>56</v>
      </c>
      <c r="B178" s="3">
        <v>0.6479166666666667</v>
      </c>
      <c r="C178" t="s">
        <v>57</v>
      </c>
      <c r="D178" s="2">
        <v>37.632946666666662</v>
      </c>
      <c r="E178" t="s">
        <v>58</v>
      </c>
      <c r="F178" s="2">
        <v>141.01317</v>
      </c>
      <c r="G178" t="s">
        <v>59</v>
      </c>
      <c r="H178" s="4">
        <v>0</v>
      </c>
      <c r="I178" s="5">
        <v>88.2</v>
      </c>
      <c r="J178">
        <v>170220</v>
      </c>
      <c r="M178" t="s">
        <v>57</v>
      </c>
      <c r="N178" t="s">
        <v>63</v>
      </c>
      <c r="O178" s="2">
        <v>-5.2898550890745355E-6</v>
      </c>
      <c r="P178" s="2">
        <v>3.7681159028579714E-6</v>
      </c>
      <c r="Q178" s="2">
        <v>-0.59353489823327821</v>
      </c>
      <c r="R178" s="2">
        <v>0.32923392455099521</v>
      </c>
      <c r="S178" s="2">
        <v>0.67873312348330228</v>
      </c>
      <c r="T178" s="5">
        <f t="shared" ref="T178:V178" si="352">IFERROR(MROUND(Q178,0.2),-MROUND(ABS(Q178),0.2))</f>
        <v>-0.60000000000000009</v>
      </c>
      <c r="U178" s="5">
        <f t="shared" si="352"/>
        <v>0.4</v>
      </c>
      <c r="V178" s="5">
        <f t="shared" si="352"/>
        <v>0.60000000000000009</v>
      </c>
      <c r="W178" s="2">
        <f t="shared" ref="W178:Y178" si="353">Q178^2</f>
        <v>0.35228367542078792</v>
      </c>
      <c r="X178" s="2">
        <f t="shared" si="353"/>
        <v>0.10839497707525041</v>
      </c>
      <c r="Y178" s="2">
        <f t="shared" si="353"/>
        <v>0.46067865291339966</v>
      </c>
    </row>
    <row r="179" spans="1:25" x14ac:dyDescent="0.7">
      <c r="A179" t="s">
        <v>56</v>
      </c>
      <c r="B179" s="3">
        <v>0.64792824074074074</v>
      </c>
      <c r="C179" t="s">
        <v>57</v>
      </c>
      <c r="D179" s="2">
        <v>37.632950000000001</v>
      </c>
      <c r="E179" t="s">
        <v>58</v>
      </c>
      <c r="F179" s="2">
        <v>141.01316833333334</v>
      </c>
      <c r="G179" t="s">
        <v>59</v>
      </c>
      <c r="H179" s="4">
        <v>0</v>
      </c>
      <c r="I179" s="5">
        <v>88.2</v>
      </c>
      <c r="J179">
        <v>170220</v>
      </c>
      <c r="M179" t="s">
        <v>57</v>
      </c>
      <c r="N179" t="s">
        <v>69</v>
      </c>
      <c r="O179" s="2">
        <v>-1.9565217499462051E-6</v>
      </c>
      <c r="P179" s="2">
        <v>2.1014492403992335E-6</v>
      </c>
      <c r="Q179" s="2">
        <v>-0.23280354079412158</v>
      </c>
      <c r="R179" s="2">
        <v>0.19008329510688782</v>
      </c>
      <c r="S179" s="2">
        <v>0.28512494266033173</v>
      </c>
      <c r="T179" s="5">
        <f t="shared" ref="T179:V179" si="354">IFERROR(MROUND(Q179,0.2),-MROUND(ABS(Q179),0.2))</f>
        <v>-0.2</v>
      </c>
      <c r="U179" s="5">
        <f t="shared" si="354"/>
        <v>0.2</v>
      </c>
      <c r="V179" s="5">
        <f t="shared" si="354"/>
        <v>0.2</v>
      </c>
      <c r="W179" s="2">
        <f t="shared" ref="W179:Y179" si="355">Q179^2</f>
        <v>5.4197488606280229E-2</v>
      </c>
      <c r="X179" s="2">
        <f t="shared" si="355"/>
        <v>3.6131659078692202E-2</v>
      </c>
      <c r="Y179" s="2">
        <f t="shared" si="355"/>
        <v>8.1296232927057455E-2</v>
      </c>
    </row>
    <row r="180" spans="1:25" x14ac:dyDescent="0.7">
      <c r="A180" t="s">
        <v>56</v>
      </c>
      <c r="B180" s="3">
        <v>0.64793981481481489</v>
      </c>
      <c r="C180" t="s">
        <v>57</v>
      </c>
      <c r="D180" s="2">
        <v>37.632951666666671</v>
      </c>
      <c r="E180" t="s">
        <v>58</v>
      </c>
      <c r="F180" s="2">
        <v>141.01316666666668</v>
      </c>
      <c r="G180" t="s">
        <v>59</v>
      </c>
      <c r="H180" s="4">
        <v>0</v>
      </c>
      <c r="I180" s="5">
        <v>8</v>
      </c>
      <c r="J180">
        <v>170220</v>
      </c>
      <c r="M180" t="s">
        <v>57</v>
      </c>
      <c r="N180" t="s">
        <v>90</v>
      </c>
      <c r="O180" s="2">
        <v>-2.8985508038203989E-7</v>
      </c>
      <c r="P180" s="2">
        <v>4.3478257794049568E-7</v>
      </c>
      <c r="Q180" s="2">
        <v>0</v>
      </c>
      <c r="R180" s="2">
        <v>0</v>
      </c>
      <c r="S180" s="2">
        <v>0</v>
      </c>
      <c r="T180" s="5">
        <f t="shared" ref="T180:V180" si="356">IFERROR(MROUND(Q180,0.2),-MROUND(ABS(Q180),0.2))</f>
        <v>0</v>
      </c>
      <c r="U180" s="5">
        <f t="shared" si="356"/>
        <v>0</v>
      </c>
      <c r="V180" s="5">
        <f t="shared" si="356"/>
        <v>0</v>
      </c>
      <c r="W180" s="2">
        <f t="shared" ref="W180:Y180" si="357">Q180^2</f>
        <v>0</v>
      </c>
      <c r="X180" s="2">
        <f t="shared" si="357"/>
        <v>0</v>
      </c>
      <c r="Y180" s="2">
        <f t="shared" si="357"/>
        <v>0</v>
      </c>
    </row>
    <row r="181" spans="1:25" x14ac:dyDescent="0.7">
      <c r="A181" t="s">
        <v>56</v>
      </c>
      <c r="B181" s="3">
        <v>0.64795138888888892</v>
      </c>
      <c r="C181" t="s">
        <v>57</v>
      </c>
      <c r="D181" s="2">
        <v>37.632953333333333</v>
      </c>
      <c r="E181" t="s">
        <v>58</v>
      </c>
      <c r="F181" s="2">
        <v>141.01316666666668</v>
      </c>
      <c r="G181" t="s">
        <v>59</v>
      </c>
      <c r="H181" s="4">
        <v>0</v>
      </c>
      <c r="I181" s="5">
        <v>88.2</v>
      </c>
      <c r="J181">
        <v>170220</v>
      </c>
      <c r="M181" t="s">
        <v>57</v>
      </c>
      <c r="N181" t="s">
        <v>70</v>
      </c>
      <c r="O181" s="2">
        <v>1.376811582076698E-6</v>
      </c>
      <c r="P181" s="2">
        <v>4.3478257794049568E-7</v>
      </c>
      <c r="Q181" s="2">
        <v>0.1646169622754976</v>
      </c>
      <c r="R181" s="2">
        <v>0</v>
      </c>
      <c r="S181" s="2">
        <v>0.1646169622754976</v>
      </c>
      <c r="T181" s="5">
        <f t="shared" ref="T181:V181" si="358">IFERROR(MROUND(Q181,0.2),-MROUND(ABS(Q181),0.2))</f>
        <v>0.2</v>
      </c>
      <c r="U181" s="5">
        <f t="shared" si="358"/>
        <v>0</v>
      </c>
      <c r="V181" s="5">
        <f t="shared" si="358"/>
        <v>0.2</v>
      </c>
      <c r="W181" s="2">
        <f t="shared" ref="W181:Y181" si="359">Q181^2</f>
        <v>2.7098744268812602E-2</v>
      </c>
      <c r="X181" s="2">
        <f t="shared" si="359"/>
        <v>0</v>
      </c>
      <c r="Y181" s="2">
        <f t="shared" si="359"/>
        <v>2.7098744268812602E-2</v>
      </c>
    </row>
    <row r="182" spans="1:25" x14ac:dyDescent="0.7">
      <c r="A182" t="s">
        <v>56</v>
      </c>
      <c r="B182" s="3">
        <v>0.64796296296296296</v>
      </c>
      <c r="C182" t="s">
        <v>57</v>
      </c>
      <c r="D182" s="2">
        <v>37.632955000000003</v>
      </c>
      <c r="E182" t="s">
        <v>58</v>
      </c>
      <c r="F182" s="2">
        <v>141.01316833333334</v>
      </c>
      <c r="G182" t="s">
        <v>59</v>
      </c>
      <c r="H182" s="4">
        <v>0</v>
      </c>
      <c r="I182" s="5">
        <v>88.2</v>
      </c>
      <c r="J182">
        <v>170220</v>
      </c>
      <c r="M182" t="s">
        <v>57</v>
      </c>
      <c r="N182" t="s">
        <v>60</v>
      </c>
      <c r="O182" s="2">
        <v>3.0434782516408632E-6</v>
      </c>
      <c r="P182" s="2">
        <v>2.1014492403992335E-6</v>
      </c>
      <c r="Q182" s="2">
        <v>0.34267753328923733</v>
      </c>
      <c r="R182" s="2">
        <v>0.19008329510688782</v>
      </c>
      <c r="S182" s="2">
        <v>0.38016659021377563</v>
      </c>
      <c r="T182" s="5">
        <f t="shared" ref="T182:V182" si="360">IFERROR(MROUND(Q182,0.2),-MROUND(ABS(Q182),0.2))</f>
        <v>0.4</v>
      </c>
      <c r="U182" s="5">
        <f t="shared" si="360"/>
        <v>0.2</v>
      </c>
      <c r="V182" s="5">
        <f t="shared" si="360"/>
        <v>0.4</v>
      </c>
      <c r="W182" s="2">
        <f t="shared" ref="W182:Y182" si="361">Q182^2</f>
        <v>0.11742789182119637</v>
      </c>
      <c r="X182" s="2">
        <f t="shared" si="361"/>
        <v>3.6131659078692202E-2</v>
      </c>
      <c r="Y182" s="2">
        <f t="shared" si="361"/>
        <v>0.14452663631476881</v>
      </c>
    </row>
    <row r="183" spans="1:25" x14ac:dyDescent="0.7">
      <c r="A183" t="s">
        <v>56</v>
      </c>
      <c r="B183" s="3">
        <v>0.647974537037037</v>
      </c>
      <c r="C183" t="s">
        <v>57</v>
      </c>
      <c r="D183" s="2">
        <v>37.632956666666672</v>
      </c>
      <c r="E183" t="s">
        <v>58</v>
      </c>
      <c r="F183" s="2">
        <v>141.01316666666668</v>
      </c>
      <c r="G183" t="s">
        <v>59</v>
      </c>
      <c r="H183" s="4">
        <v>0</v>
      </c>
      <c r="I183" s="5">
        <v>88.2</v>
      </c>
      <c r="J183">
        <v>170220</v>
      </c>
      <c r="M183" t="s">
        <v>57</v>
      </c>
      <c r="N183" t="s">
        <v>70</v>
      </c>
      <c r="O183" s="2">
        <v>4.7101449212050284E-6</v>
      </c>
      <c r="P183" s="2">
        <v>4.3478257794049568E-7</v>
      </c>
      <c r="Q183" s="2">
        <v>0.5205645423724552</v>
      </c>
      <c r="R183" s="2">
        <v>0</v>
      </c>
      <c r="S183" s="2">
        <v>0.5205645423724552</v>
      </c>
      <c r="T183" s="5">
        <f t="shared" ref="T183:V183" si="362">IFERROR(MROUND(Q183,0.2),-MROUND(ABS(Q183),0.2))</f>
        <v>0.60000000000000009</v>
      </c>
      <c r="U183" s="5">
        <f t="shared" si="362"/>
        <v>0</v>
      </c>
      <c r="V183" s="5">
        <f t="shared" si="362"/>
        <v>0.60000000000000009</v>
      </c>
      <c r="W183" s="2">
        <f t="shared" ref="W183:Y183" si="363">Q183^2</f>
        <v>0.27098744277544368</v>
      </c>
      <c r="X183" s="2">
        <f t="shared" si="363"/>
        <v>0</v>
      </c>
      <c r="Y183" s="2">
        <f t="shared" si="363"/>
        <v>0.27098744277544368</v>
      </c>
    </row>
    <row r="184" spans="1:25" x14ac:dyDescent="0.7">
      <c r="A184" t="s">
        <v>56</v>
      </c>
      <c r="B184" s="3">
        <v>0.64798611111111104</v>
      </c>
      <c r="C184" t="s">
        <v>57</v>
      </c>
      <c r="D184" s="2">
        <v>37.632956666666672</v>
      </c>
      <c r="E184" t="s">
        <v>58</v>
      </c>
      <c r="F184" s="2">
        <v>141.01316333333335</v>
      </c>
      <c r="G184" t="s">
        <v>59</v>
      </c>
      <c r="H184" s="4">
        <v>0</v>
      </c>
      <c r="I184" s="5">
        <v>88.2</v>
      </c>
      <c r="J184">
        <v>170220</v>
      </c>
      <c r="M184" t="s">
        <v>57</v>
      </c>
      <c r="N184" t="s">
        <v>91</v>
      </c>
      <c r="O184" s="2">
        <v>4.7101449212050284E-6</v>
      </c>
      <c r="P184" s="2">
        <v>-2.89855074697698E-6</v>
      </c>
      <c r="Q184" s="2">
        <v>0.5205645423724552</v>
      </c>
      <c r="R184" s="2">
        <v>-0.26881837356879035</v>
      </c>
      <c r="S184" s="2">
        <v>0.58587606309334395</v>
      </c>
      <c r="T184" s="5">
        <f t="shared" ref="T184:V184" si="364">IFERROR(MROUND(Q184,0.2),-MROUND(ABS(Q184),0.2))</f>
        <v>0.60000000000000009</v>
      </c>
      <c r="U184" s="5">
        <f t="shared" si="364"/>
        <v>-0.2</v>
      </c>
      <c r="V184" s="5">
        <f t="shared" si="364"/>
        <v>0.60000000000000009</v>
      </c>
      <c r="W184" s="2">
        <f t="shared" ref="W184:Y184" si="365">Q184^2</f>
        <v>0.27098744277544368</v>
      </c>
      <c r="X184" s="2">
        <f t="shared" si="365"/>
        <v>7.2263317968169719E-2</v>
      </c>
      <c r="Y184" s="2">
        <f t="shared" si="365"/>
        <v>0.34325076130575594</v>
      </c>
    </row>
    <row r="185" spans="1:25" x14ac:dyDescent="0.7">
      <c r="A185" t="s">
        <v>56</v>
      </c>
      <c r="B185" s="3">
        <v>0.64799768518518519</v>
      </c>
      <c r="C185" t="s">
        <v>57</v>
      </c>
      <c r="D185" s="2">
        <v>37.632955000000003</v>
      </c>
      <c r="E185" t="s">
        <v>58</v>
      </c>
      <c r="F185" s="2">
        <v>141.01316499999999</v>
      </c>
      <c r="G185" t="s">
        <v>59</v>
      </c>
      <c r="H185" s="4">
        <v>0</v>
      </c>
      <c r="I185" s="5">
        <v>88.2</v>
      </c>
      <c r="J185">
        <v>170220</v>
      </c>
      <c r="M185" t="s">
        <v>57</v>
      </c>
      <c r="N185" t="s">
        <v>66</v>
      </c>
      <c r="O185" s="2">
        <v>3.0434782516408632E-6</v>
      </c>
      <c r="P185" s="2">
        <v>-1.2318841129399516E-6</v>
      </c>
      <c r="Q185" s="2">
        <v>0.34267753328923733</v>
      </c>
      <c r="R185" s="2">
        <v>-0.13440918607627972</v>
      </c>
      <c r="S185" s="2">
        <v>0.35561328162303774</v>
      </c>
      <c r="T185" s="5">
        <f t="shared" ref="T185:V185" si="366">IFERROR(MROUND(Q185,0.2),-MROUND(ABS(Q185),0.2))</f>
        <v>0.4</v>
      </c>
      <c r="U185" s="5">
        <f t="shared" si="366"/>
        <v>-0.2</v>
      </c>
      <c r="V185" s="5">
        <f t="shared" si="366"/>
        <v>0.4</v>
      </c>
      <c r="W185" s="2">
        <f t="shared" ref="W185:Y185" si="367">Q185^2</f>
        <v>0.11742789182119637</v>
      </c>
      <c r="X185" s="2">
        <f t="shared" si="367"/>
        <v>1.8065829301687986E-2</v>
      </c>
      <c r="Y185" s="2">
        <f t="shared" si="367"/>
        <v>0.12646080606670596</v>
      </c>
    </row>
    <row r="186" spans="1:25" x14ac:dyDescent="0.7">
      <c r="A186" t="s">
        <v>56</v>
      </c>
      <c r="B186" s="3">
        <v>0.64803240740740742</v>
      </c>
      <c r="C186" t="s">
        <v>57</v>
      </c>
      <c r="D186" s="2">
        <v>37.632956666666672</v>
      </c>
      <c r="E186" t="s">
        <v>58</v>
      </c>
      <c r="F186" s="2">
        <v>141.01316499999999</v>
      </c>
      <c r="G186" t="s">
        <v>59</v>
      </c>
      <c r="H186" s="4">
        <v>0</v>
      </c>
      <c r="I186" s="5">
        <v>88.2</v>
      </c>
      <c r="J186">
        <v>170220</v>
      </c>
      <c r="M186" t="s">
        <v>57</v>
      </c>
      <c r="N186" t="s">
        <v>87</v>
      </c>
      <c r="O186" s="2">
        <v>4.7101449212050284E-6</v>
      </c>
      <c r="P186" s="2">
        <v>-1.2318841129399516E-6</v>
      </c>
      <c r="Q186" s="2">
        <v>0.5205645423724552</v>
      </c>
      <c r="R186" s="2">
        <v>-0.13440918607627972</v>
      </c>
      <c r="S186" s="2">
        <v>0.5376367471375807</v>
      </c>
      <c r="T186" s="5">
        <f t="shared" ref="T186:V186" si="368">IFERROR(MROUND(Q186,0.2),-MROUND(ABS(Q186),0.2))</f>
        <v>0.60000000000000009</v>
      </c>
      <c r="U186" s="5">
        <f t="shared" si="368"/>
        <v>-0.2</v>
      </c>
      <c r="V186" s="5">
        <f t="shared" si="368"/>
        <v>0.60000000000000009</v>
      </c>
      <c r="W186" s="2">
        <f t="shared" ref="W186:Y186" si="369">Q186^2</f>
        <v>0.27098744277544368</v>
      </c>
      <c r="X186" s="2">
        <f t="shared" si="369"/>
        <v>1.8065829301687986E-2</v>
      </c>
      <c r="Y186" s="2">
        <f t="shared" si="369"/>
        <v>0.28905327187267887</v>
      </c>
    </row>
    <row r="187" spans="1:25" x14ac:dyDescent="0.7">
      <c r="A187" t="s">
        <v>56</v>
      </c>
      <c r="B187" s="3">
        <v>0.6480555555555555</v>
      </c>
      <c r="C187" t="s">
        <v>57</v>
      </c>
      <c r="D187" s="2">
        <v>37.632956666666672</v>
      </c>
      <c r="E187" t="s">
        <v>58</v>
      </c>
      <c r="F187" s="2">
        <v>141.01316333333335</v>
      </c>
      <c r="G187" t="s">
        <v>59</v>
      </c>
      <c r="H187" s="4">
        <v>0</v>
      </c>
      <c r="I187" s="5">
        <v>88.2</v>
      </c>
      <c r="J187">
        <v>170220</v>
      </c>
      <c r="M187" t="s">
        <v>57</v>
      </c>
      <c r="N187" t="s">
        <v>62</v>
      </c>
      <c r="O187" s="2">
        <v>4.7101449212050284E-6</v>
      </c>
      <c r="P187" s="2">
        <v>-2.89855074697698E-6</v>
      </c>
      <c r="Q187" s="2">
        <v>0.5205645423724552</v>
      </c>
      <c r="R187" s="2">
        <v>-0.26881837356879035</v>
      </c>
      <c r="S187" s="2">
        <v>0.58587606309334395</v>
      </c>
      <c r="T187" s="5">
        <f t="shared" ref="T187:V187" si="370">IFERROR(MROUND(Q187,0.2),-MROUND(ABS(Q187),0.2))</f>
        <v>0.60000000000000009</v>
      </c>
      <c r="U187" s="5">
        <f t="shared" si="370"/>
        <v>-0.2</v>
      </c>
      <c r="V187" s="5">
        <f t="shared" si="370"/>
        <v>0.60000000000000009</v>
      </c>
      <c r="W187" s="2">
        <f t="shared" ref="W187:Y187" si="371">Q187^2</f>
        <v>0.27098744277544368</v>
      </c>
      <c r="X187" s="2">
        <f t="shared" si="371"/>
        <v>7.2263317968169719E-2</v>
      </c>
      <c r="Y187" s="2">
        <f t="shared" si="371"/>
        <v>0.34325076130575594</v>
      </c>
    </row>
    <row r="188" spans="1:25" x14ac:dyDescent="0.7">
      <c r="A188" t="s">
        <v>56</v>
      </c>
      <c r="B188" s="3">
        <v>0.64806712962962965</v>
      </c>
      <c r="C188" t="s">
        <v>57</v>
      </c>
      <c r="D188" s="2">
        <v>37.632958333333335</v>
      </c>
      <c r="E188" t="s">
        <v>58</v>
      </c>
      <c r="F188" s="2">
        <v>141.01316166666666</v>
      </c>
      <c r="G188" t="s">
        <v>59</v>
      </c>
      <c r="H188" s="4">
        <v>0</v>
      </c>
      <c r="I188" s="5">
        <v>88.2</v>
      </c>
      <c r="J188">
        <v>170220</v>
      </c>
      <c r="M188" t="s">
        <v>57</v>
      </c>
      <c r="N188" t="s">
        <v>64</v>
      </c>
      <c r="O188" s="2">
        <v>6.3768115836637662E-6</v>
      </c>
      <c r="P188" s="2">
        <v>-4.5652174378574273E-6</v>
      </c>
      <c r="Q188" s="2">
        <v>0.71122656466230638</v>
      </c>
      <c r="R188" s="2">
        <v>-0.41427693655817155</v>
      </c>
      <c r="S188" s="2">
        <v>0.81757916556175747</v>
      </c>
      <c r="T188" s="5">
        <f t="shared" ref="T188:V188" si="372">IFERROR(MROUND(Q188,0.2),-MROUND(ABS(Q188),0.2))</f>
        <v>0.8</v>
      </c>
      <c r="U188" s="5">
        <f t="shared" si="372"/>
        <v>-0.4</v>
      </c>
      <c r="V188" s="5">
        <f t="shared" si="372"/>
        <v>0.8</v>
      </c>
      <c r="W188" s="2">
        <f t="shared" ref="W188:Y188" si="373">Q188^2</f>
        <v>0.50584322628134593</v>
      </c>
      <c r="X188" s="2">
        <f t="shared" si="373"/>
        <v>0.17162538016402329</v>
      </c>
      <c r="Y188" s="2">
        <f t="shared" si="373"/>
        <v>0.66843569196065966</v>
      </c>
    </row>
    <row r="189" spans="1:25" x14ac:dyDescent="0.7">
      <c r="A189" t="s">
        <v>56</v>
      </c>
      <c r="B189" s="3">
        <v>0.64807870370370368</v>
      </c>
      <c r="C189" t="s">
        <v>57</v>
      </c>
      <c r="D189" s="2">
        <v>37.632958333333335</v>
      </c>
      <c r="E189" t="s">
        <v>58</v>
      </c>
      <c r="F189" s="2">
        <v>141.01316166666666</v>
      </c>
      <c r="G189" t="s">
        <v>59</v>
      </c>
      <c r="H189" s="4">
        <v>0</v>
      </c>
      <c r="I189" s="5">
        <v>88.2</v>
      </c>
      <c r="J189">
        <v>170220</v>
      </c>
      <c r="M189" t="s">
        <v>57</v>
      </c>
      <c r="N189" t="s">
        <v>65</v>
      </c>
      <c r="O189" s="2">
        <v>6.3768115836637662E-6</v>
      </c>
      <c r="P189" s="2">
        <v>-4.5652174378574273E-6</v>
      </c>
      <c r="Q189" s="2">
        <v>0.71122656466230638</v>
      </c>
      <c r="R189" s="2">
        <v>-0.41427693655817155</v>
      </c>
      <c r="S189" s="2">
        <v>0.81757916556175747</v>
      </c>
      <c r="T189" s="5">
        <f t="shared" ref="T189:V189" si="374">IFERROR(MROUND(Q189,0.2),-MROUND(ABS(Q189),0.2))</f>
        <v>0.8</v>
      </c>
      <c r="U189" s="5">
        <f t="shared" si="374"/>
        <v>-0.4</v>
      </c>
      <c r="V189" s="5">
        <f t="shared" si="374"/>
        <v>0.8</v>
      </c>
      <c r="W189" s="2">
        <f t="shared" ref="W189:Y189" si="375">Q189^2</f>
        <v>0.50584322628134593</v>
      </c>
      <c r="X189" s="2">
        <f t="shared" si="375"/>
        <v>0.17162538016402329</v>
      </c>
      <c r="Y189" s="2">
        <f t="shared" si="375"/>
        <v>0.66843569196065966</v>
      </c>
    </row>
    <row r="190" spans="1:25" x14ac:dyDescent="0.7">
      <c r="A190" t="s">
        <v>56</v>
      </c>
      <c r="B190" s="3">
        <v>0.64809027777777783</v>
      </c>
      <c r="C190" t="s">
        <v>57</v>
      </c>
      <c r="D190" s="2">
        <v>37.632956666666672</v>
      </c>
      <c r="E190" t="s">
        <v>58</v>
      </c>
      <c r="F190" s="2">
        <v>141.01316166666666</v>
      </c>
      <c r="G190" t="s">
        <v>59</v>
      </c>
      <c r="H190" s="4">
        <v>0</v>
      </c>
      <c r="I190" s="5">
        <v>88.2</v>
      </c>
      <c r="J190">
        <v>170220</v>
      </c>
      <c r="M190" t="s">
        <v>57</v>
      </c>
      <c r="N190" t="s">
        <v>65</v>
      </c>
      <c r="O190" s="2">
        <v>4.7101449212050284E-6</v>
      </c>
      <c r="P190" s="2">
        <v>-4.5652174378574273E-6</v>
      </c>
      <c r="Q190" s="2">
        <v>0.5205645423724552</v>
      </c>
      <c r="R190" s="2">
        <v>-0.41427693655817155</v>
      </c>
      <c r="S190" s="2">
        <v>0.65846784910199041</v>
      </c>
      <c r="T190" s="5">
        <f t="shared" ref="T190:V190" si="376">IFERROR(MROUND(Q190,0.2),-MROUND(ABS(Q190),0.2))</f>
        <v>0.60000000000000009</v>
      </c>
      <c r="U190" s="5">
        <f t="shared" si="376"/>
        <v>-0.4</v>
      </c>
      <c r="V190" s="5">
        <f t="shared" si="376"/>
        <v>0.60000000000000009</v>
      </c>
      <c r="W190" s="2">
        <f t="shared" ref="W190:Y190" si="377">Q190^2</f>
        <v>0.27098744277544368</v>
      </c>
      <c r="X190" s="2">
        <f t="shared" si="377"/>
        <v>0.17162538016402329</v>
      </c>
      <c r="Y190" s="2">
        <f t="shared" si="377"/>
        <v>0.43357990830100163</v>
      </c>
    </row>
    <row r="191" spans="1:25" x14ac:dyDescent="0.7">
      <c r="A191" t="s">
        <v>56</v>
      </c>
      <c r="B191" s="3">
        <v>0.64810185185185187</v>
      </c>
      <c r="C191" t="s">
        <v>57</v>
      </c>
      <c r="D191" s="2">
        <v>37.632956666666672</v>
      </c>
      <c r="E191" t="s">
        <v>58</v>
      </c>
      <c r="F191" s="2">
        <v>141.01316333333335</v>
      </c>
      <c r="G191" t="s">
        <v>59</v>
      </c>
      <c r="H191" s="4">
        <v>0</v>
      </c>
      <c r="I191" s="5">
        <v>88.2</v>
      </c>
      <c r="J191">
        <v>170220</v>
      </c>
      <c r="M191" t="s">
        <v>57</v>
      </c>
      <c r="N191" t="s">
        <v>90</v>
      </c>
      <c r="O191" s="2">
        <v>4.7101449212050284E-6</v>
      </c>
      <c r="P191" s="2">
        <v>-2.89855074697698E-6</v>
      </c>
      <c r="Q191" s="2">
        <v>0.5205645423724552</v>
      </c>
      <c r="R191" s="2">
        <v>-0.26881837356879035</v>
      </c>
      <c r="S191" s="2">
        <v>0.58587606309334395</v>
      </c>
      <c r="T191" s="5">
        <f t="shared" ref="T191:V191" si="378">IFERROR(MROUND(Q191,0.2),-MROUND(ABS(Q191),0.2))</f>
        <v>0.60000000000000009</v>
      </c>
      <c r="U191" s="5">
        <f t="shared" si="378"/>
        <v>-0.2</v>
      </c>
      <c r="V191" s="5">
        <f t="shared" si="378"/>
        <v>0.60000000000000009</v>
      </c>
      <c r="W191" s="2">
        <f t="shared" ref="W191:Y191" si="379">Q191^2</f>
        <v>0.27098744277544368</v>
      </c>
      <c r="X191" s="2">
        <f t="shared" si="379"/>
        <v>7.2263317968169719E-2</v>
      </c>
      <c r="Y191" s="2">
        <f t="shared" si="379"/>
        <v>0.34325076130575594</v>
      </c>
    </row>
    <row r="192" spans="1:25" x14ac:dyDescent="0.7">
      <c r="A192" t="s">
        <v>56</v>
      </c>
      <c r="B192" s="3">
        <v>0.64811342592592591</v>
      </c>
      <c r="C192" t="s">
        <v>57</v>
      </c>
      <c r="D192" s="2">
        <v>37.632955000000003</v>
      </c>
      <c r="E192" t="s">
        <v>58</v>
      </c>
      <c r="F192" s="2">
        <v>141.01316333333335</v>
      </c>
      <c r="G192" t="s">
        <v>59</v>
      </c>
      <c r="H192" s="4">
        <v>0</v>
      </c>
      <c r="I192" s="5">
        <v>88.2</v>
      </c>
      <c r="J192">
        <v>170220</v>
      </c>
      <c r="M192" t="s">
        <v>57</v>
      </c>
      <c r="N192" t="s">
        <v>66</v>
      </c>
      <c r="O192" s="2">
        <v>3.0434782516408632E-6</v>
      </c>
      <c r="P192" s="2">
        <v>-2.89855074697698E-6</v>
      </c>
      <c r="Q192" s="2">
        <v>0.34267753328923733</v>
      </c>
      <c r="R192" s="2">
        <v>-0.26881837356879035</v>
      </c>
      <c r="S192" s="2">
        <v>0.42503916840551237</v>
      </c>
      <c r="T192" s="5">
        <f t="shared" ref="T192:V192" si="380">IFERROR(MROUND(Q192,0.2),-MROUND(ABS(Q192),0.2))</f>
        <v>0.4</v>
      </c>
      <c r="U192" s="5">
        <f t="shared" si="380"/>
        <v>-0.2</v>
      </c>
      <c r="V192" s="5">
        <f t="shared" si="380"/>
        <v>0.4</v>
      </c>
      <c r="W192" s="2">
        <f t="shared" ref="W192:Y192" si="381">Q192^2</f>
        <v>0.11742789182119637</v>
      </c>
      <c r="X192" s="2">
        <f t="shared" si="381"/>
        <v>7.2263317968169719E-2</v>
      </c>
      <c r="Y192" s="2">
        <f t="shared" si="381"/>
        <v>0.1806582946788495</v>
      </c>
    </row>
    <row r="193" spans="1:25" x14ac:dyDescent="0.7">
      <c r="A193" t="s">
        <v>56</v>
      </c>
      <c r="B193" s="3">
        <v>0.6481365740740741</v>
      </c>
      <c r="C193" t="s">
        <v>57</v>
      </c>
      <c r="D193" s="2">
        <v>37.632955000000003</v>
      </c>
      <c r="E193" t="s">
        <v>58</v>
      </c>
      <c r="F193" s="2">
        <v>141.01316333333335</v>
      </c>
      <c r="G193" t="s">
        <v>59</v>
      </c>
      <c r="H193" s="4">
        <v>0</v>
      </c>
      <c r="I193" s="5">
        <v>88.2</v>
      </c>
      <c r="J193">
        <v>170220</v>
      </c>
      <c r="M193" t="s">
        <v>57</v>
      </c>
      <c r="N193" t="s">
        <v>63</v>
      </c>
      <c r="O193" s="2">
        <v>3.0434782516408632E-6</v>
      </c>
      <c r="P193" s="2">
        <v>-2.89855074697698E-6</v>
      </c>
      <c r="Q193" s="2">
        <v>0.34267753328923733</v>
      </c>
      <c r="R193" s="2">
        <v>-0.26881837356879035</v>
      </c>
      <c r="S193" s="2">
        <v>0.42503916840551237</v>
      </c>
      <c r="T193" s="5">
        <f t="shared" ref="T193:V193" si="382">IFERROR(MROUND(Q193,0.2),-MROUND(ABS(Q193),0.2))</f>
        <v>0.4</v>
      </c>
      <c r="U193" s="5">
        <f t="shared" si="382"/>
        <v>-0.2</v>
      </c>
      <c r="V193" s="5">
        <f t="shared" si="382"/>
        <v>0.4</v>
      </c>
      <c r="W193" s="2">
        <f t="shared" ref="W193:Y193" si="383">Q193^2</f>
        <v>0.11742789182119637</v>
      </c>
      <c r="X193" s="2">
        <f t="shared" si="383"/>
        <v>7.2263317968169719E-2</v>
      </c>
      <c r="Y193" s="2">
        <f t="shared" si="383"/>
        <v>0.1806582946788495</v>
      </c>
    </row>
    <row r="194" spans="1:25" x14ac:dyDescent="0.7">
      <c r="A194" t="s">
        <v>56</v>
      </c>
      <c r="B194" s="3">
        <v>0.648900462962963</v>
      </c>
      <c r="C194" t="s">
        <v>57</v>
      </c>
      <c r="D194" s="2">
        <v>37.632964999999999</v>
      </c>
      <c r="E194" t="s">
        <v>58</v>
      </c>
      <c r="F194" s="2">
        <v>141.01323166666668</v>
      </c>
      <c r="G194" t="s">
        <v>59</v>
      </c>
      <c r="H194" s="4">
        <v>0</v>
      </c>
      <c r="I194" s="5">
        <v>91.3</v>
      </c>
      <c r="J194">
        <v>170220</v>
      </c>
      <c r="M194" t="s">
        <v>57</v>
      </c>
      <c r="N194" t="s">
        <v>88</v>
      </c>
      <c r="O194" s="2">
        <v>-8.7681159328667491E-6</v>
      </c>
      <c r="P194" s="2">
        <v>-2.3913043207812734E-6</v>
      </c>
      <c r="Q194" s="2">
        <v>-0.97388708267538981</v>
      </c>
      <c r="R194" s="2">
        <v>-0.21251958491087164</v>
      </c>
      <c r="S194" s="2">
        <v>0.99680520822460728</v>
      </c>
      <c r="T194" s="5">
        <f t="shared" ref="T194:V194" si="384">IFERROR(MROUND(Q194,0.2),-MROUND(ABS(Q194),0.2))</f>
        <v>-1</v>
      </c>
      <c r="U194" s="5">
        <f t="shared" si="384"/>
        <v>-0.2</v>
      </c>
      <c r="V194" s="5">
        <f t="shared" si="384"/>
        <v>1</v>
      </c>
      <c r="W194" s="2">
        <f t="shared" ref="W194:Y194" si="385">Q194^2</f>
        <v>0.9484560498019815</v>
      </c>
      <c r="X194" s="2">
        <f t="shared" si="385"/>
        <v>4.5164573970689181E-2</v>
      </c>
      <c r="Y194" s="2">
        <f t="shared" si="385"/>
        <v>0.9936206231437027</v>
      </c>
    </row>
    <row r="195" spans="1:25" x14ac:dyDescent="0.7">
      <c r="A195" t="s">
        <v>56</v>
      </c>
      <c r="B195" s="3">
        <v>0.64891203703703704</v>
      </c>
      <c r="C195" t="s">
        <v>57</v>
      </c>
      <c r="D195" s="2">
        <v>37.632964999999999</v>
      </c>
      <c r="E195" t="s">
        <v>58</v>
      </c>
      <c r="F195" s="2">
        <v>141.01323166666668</v>
      </c>
      <c r="G195" t="s">
        <v>59</v>
      </c>
      <c r="H195" s="4">
        <v>0</v>
      </c>
      <c r="I195" s="5">
        <v>91.3</v>
      </c>
      <c r="J195">
        <v>170220</v>
      </c>
      <c r="M195" t="s">
        <v>57</v>
      </c>
      <c r="N195" t="s">
        <v>61</v>
      </c>
      <c r="O195" s="2">
        <v>-8.7681159328667491E-6</v>
      </c>
      <c r="P195" s="2">
        <v>-2.3913043207812734E-6</v>
      </c>
      <c r="Q195" s="2">
        <v>-0.97388708267538981</v>
      </c>
      <c r="R195" s="2">
        <v>-0.21251958491087164</v>
      </c>
      <c r="S195" s="2">
        <v>0.99680520822460728</v>
      </c>
      <c r="T195" s="5">
        <f t="shared" ref="T195:V195" si="386">IFERROR(MROUND(Q195,0.2),-MROUND(ABS(Q195),0.2))</f>
        <v>-1</v>
      </c>
      <c r="U195" s="5">
        <f t="shared" si="386"/>
        <v>-0.2</v>
      </c>
      <c r="V195" s="5">
        <f t="shared" si="386"/>
        <v>1</v>
      </c>
      <c r="W195" s="2">
        <f t="shared" ref="W195:Y195" si="387">Q195^2</f>
        <v>0.9484560498019815</v>
      </c>
      <c r="X195" s="2">
        <f t="shared" si="387"/>
        <v>4.5164573970689181E-2</v>
      </c>
      <c r="Y195" s="2">
        <f t="shared" si="387"/>
        <v>0.9936206231437027</v>
      </c>
    </row>
    <row r="196" spans="1:25" x14ac:dyDescent="0.7">
      <c r="A196" t="s">
        <v>56</v>
      </c>
      <c r="B196" s="3">
        <v>0.64892361111111108</v>
      </c>
      <c r="C196" t="s">
        <v>57</v>
      </c>
      <c r="D196" s="2">
        <v>37.632968333333331</v>
      </c>
      <c r="E196" t="s">
        <v>58</v>
      </c>
      <c r="F196" s="2">
        <v>141.01323166666668</v>
      </c>
      <c r="G196" t="s">
        <v>59</v>
      </c>
      <c r="H196" s="4">
        <v>0</v>
      </c>
      <c r="I196" s="5">
        <v>91.3</v>
      </c>
      <c r="J196">
        <v>170220</v>
      </c>
      <c r="M196" t="s">
        <v>57</v>
      </c>
      <c r="N196" t="s">
        <v>65</v>
      </c>
      <c r="O196" s="2">
        <v>-5.434782600843846E-6</v>
      </c>
      <c r="P196" s="2">
        <v>-2.3913043207812734E-6</v>
      </c>
      <c r="Q196" s="2">
        <v>-0.60109615789595305</v>
      </c>
      <c r="R196" s="2">
        <v>-0.21251958491087164</v>
      </c>
      <c r="S196" s="2">
        <v>0.63755875331638401</v>
      </c>
      <c r="T196" s="5">
        <f t="shared" ref="T196:V196" si="388">IFERROR(MROUND(Q196,0.2),-MROUND(ABS(Q196),0.2))</f>
        <v>-0.60000000000000009</v>
      </c>
      <c r="U196" s="5">
        <f t="shared" si="388"/>
        <v>-0.2</v>
      </c>
      <c r="V196" s="5">
        <f t="shared" si="388"/>
        <v>0.60000000000000009</v>
      </c>
      <c r="W196" s="2">
        <f t="shared" ref="W196:Y196" si="389">Q196^2</f>
        <v>0.36131659103727654</v>
      </c>
      <c r="X196" s="2">
        <f t="shared" si="389"/>
        <v>4.5164573970689181E-2</v>
      </c>
      <c r="Y196" s="2">
        <f t="shared" si="389"/>
        <v>0.40648116393034178</v>
      </c>
    </row>
    <row r="197" spans="1:25" x14ac:dyDescent="0.7">
      <c r="A197" t="s">
        <v>56</v>
      </c>
      <c r="B197" s="3">
        <v>0.64893518518518511</v>
      </c>
      <c r="C197" t="s">
        <v>57</v>
      </c>
      <c r="D197" s="2">
        <v>37.632968333333331</v>
      </c>
      <c r="E197" t="s">
        <v>58</v>
      </c>
      <c r="F197" s="2">
        <v>141.01322999999999</v>
      </c>
      <c r="G197" t="s">
        <v>59</v>
      </c>
      <c r="H197" s="4">
        <v>0.37040000000000006</v>
      </c>
      <c r="I197" s="5">
        <v>91.3</v>
      </c>
      <c r="J197">
        <v>170220</v>
      </c>
      <c r="M197" t="s">
        <v>57</v>
      </c>
      <c r="N197" t="s">
        <v>90</v>
      </c>
      <c r="O197" s="2">
        <v>-5.434782600843846E-6</v>
      </c>
      <c r="P197" s="2">
        <v>-4.0579710116617207E-6</v>
      </c>
      <c r="Q197" s="2">
        <v>-0.60109615789595305</v>
      </c>
      <c r="R197" s="2">
        <v>-0.35561328162303774</v>
      </c>
      <c r="S197" s="2">
        <v>0.70484772185158362</v>
      </c>
      <c r="T197" s="5">
        <f t="shared" ref="T197:V197" si="390">IFERROR(MROUND(Q197,0.2),-MROUND(ABS(Q197),0.2))</f>
        <v>-0.60000000000000009</v>
      </c>
      <c r="U197" s="5">
        <f t="shared" si="390"/>
        <v>-0.4</v>
      </c>
      <c r="V197" s="5">
        <f t="shared" si="390"/>
        <v>0.8</v>
      </c>
      <c r="W197" s="2">
        <f t="shared" ref="W197:Y197" si="391">Q197^2</f>
        <v>0.36131659103727654</v>
      </c>
      <c r="X197" s="2">
        <f t="shared" si="391"/>
        <v>0.12646080606670596</v>
      </c>
      <c r="Y197" s="2">
        <f t="shared" si="391"/>
        <v>0.4968103109993674</v>
      </c>
    </row>
    <row r="198" spans="1:25" x14ac:dyDescent="0.7">
      <c r="A198" t="s">
        <v>56</v>
      </c>
      <c r="B198" s="3">
        <v>0.64894675925925926</v>
      </c>
      <c r="C198" t="s">
        <v>57</v>
      </c>
      <c r="D198" s="2">
        <v>37.63297</v>
      </c>
      <c r="E198" t="s">
        <v>58</v>
      </c>
      <c r="F198" s="2">
        <v>141.01323166666668</v>
      </c>
      <c r="G198" t="s">
        <v>59</v>
      </c>
      <c r="H198" s="4">
        <v>0</v>
      </c>
      <c r="I198" s="5">
        <v>91.3</v>
      </c>
      <c r="J198">
        <v>170220</v>
      </c>
      <c r="M198" t="s">
        <v>57</v>
      </c>
      <c r="N198" t="s">
        <v>91</v>
      </c>
      <c r="O198" s="2">
        <v>-3.7681159312796808E-6</v>
      </c>
      <c r="P198" s="2">
        <v>-2.3913043207812734E-6</v>
      </c>
      <c r="Q198" s="2">
        <v>-0.41427693655817155</v>
      </c>
      <c r="R198" s="2">
        <v>-0.21251958491087164</v>
      </c>
      <c r="S198" s="2">
        <v>0.46560708158824315</v>
      </c>
      <c r="T198" s="5">
        <f t="shared" ref="T198:V198" si="392">IFERROR(MROUND(Q198,0.2),-MROUND(ABS(Q198),0.2))</f>
        <v>-0.4</v>
      </c>
      <c r="U198" s="5">
        <f t="shared" si="392"/>
        <v>-0.2</v>
      </c>
      <c r="V198" s="5">
        <f t="shared" si="392"/>
        <v>0.4</v>
      </c>
      <c r="W198" s="2">
        <f t="shared" ref="W198:Y198" si="393">Q198^2</f>
        <v>0.17162538016402329</v>
      </c>
      <c r="X198" s="2">
        <f t="shared" si="393"/>
        <v>4.5164573970689181E-2</v>
      </c>
      <c r="Y198" s="2">
        <f t="shared" si="393"/>
        <v>0.21678995442512092</v>
      </c>
    </row>
    <row r="199" spans="1:25" x14ac:dyDescent="0.7">
      <c r="A199" t="s">
        <v>56</v>
      </c>
      <c r="B199" s="3">
        <v>0.6489583333333333</v>
      </c>
      <c r="C199" t="s">
        <v>57</v>
      </c>
      <c r="D199" s="2">
        <v>37.63297</v>
      </c>
      <c r="E199" t="s">
        <v>58</v>
      </c>
      <c r="F199" s="2">
        <v>141.01322999999999</v>
      </c>
      <c r="G199" t="s">
        <v>59</v>
      </c>
      <c r="H199" s="4">
        <v>0.37040000000000006</v>
      </c>
      <c r="I199" s="5">
        <v>91.3</v>
      </c>
      <c r="J199">
        <v>170220</v>
      </c>
      <c r="M199" t="s">
        <v>57</v>
      </c>
      <c r="N199" t="s">
        <v>61</v>
      </c>
      <c r="O199" s="2">
        <v>-3.7681159312796808E-6</v>
      </c>
      <c r="P199" s="2">
        <v>-4.0579710116617207E-6</v>
      </c>
      <c r="Q199" s="2">
        <v>-0.41427693655817155</v>
      </c>
      <c r="R199" s="2">
        <v>-0.35561328162303774</v>
      </c>
      <c r="S199" s="2">
        <v>0.55418327389718169</v>
      </c>
      <c r="T199" s="5">
        <f t="shared" ref="T199:V199" si="394">IFERROR(MROUND(Q199,0.2),-MROUND(ABS(Q199),0.2))</f>
        <v>-0.4</v>
      </c>
      <c r="U199" s="5">
        <f t="shared" si="394"/>
        <v>-0.4</v>
      </c>
      <c r="V199" s="5">
        <f t="shared" si="394"/>
        <v>0.60000000000000009</v>
      </c>
      <c r="W199" s="2">
        <f t="shared" ref="W199:Y199" si="395">Q199^2</f>
        <v>0.17162538016402329</v>
      </c>
      <c r="X199" s="2">
        <f t="shared" si="395"/>
        <v>0.12646080606670596</v>
      </c>
      <c r="Y199" s="2">
        <f t="shared" si="395"/>
        <v>0.3071191010673987</v>
      </c>
    </row>
    <row r="200" spans="1:25" x14ac:dyDescent="0.7">
      <c r="A200" t="s">
        <v>56</v>
      </c>
      <c r="B200" s="3">
        <v>0.64898148148148149</v>
      </c>
      <c r="C200" t="s">
        <v>57</v>
      </c>
      <c r="D200" s="2">
        <v>37.63297166666667</v>
      </c>
      <c r="E200" t="s">
        <v>58</v>
      </c>
      <c r="F200" s="2">
        <v>141.01323166666668</v>
      </c>
      <c r="G200" t="s">
        <v>59</v>
      </c>
      <c r="H200" s="4">
        <v>0</v>
      </c>
      <c r="I200" s="5">
        <v>91.3</v>
      </c>
      <c r="J200">
        <v>170220</v>
      </c>
      <c r="M200" t="s">
        <v>57</v>
      </c>
      <c r="N200" t="s">
        <v>61</v>
      </c>
      <c r="O200" s="2">
        <v>-2.1014492617155156E-6</v>
      </c>
      <c r="P200" s="2">
        <v>-2.3913043207812734E-6</v>
      </c>
      <c r="Q200" s="2">
        <v>-0.23280354079412158</v>
      </c>
      <c r="R200" s="2">
        <v>-0.21251958491087164</v>
      </c>
      <c r="S200" s="2">
        <v>0.31521748439906938</v>
      </c>
      <c r="T200" s="5">
        <f t="shared" ref="T200:V200" si="396">IFERROR(MROUND(Q200,0.2),-MROUND(ABS(Q200),0.2))</f>
        <v>-0.2</v>
      </c>
      <c r="U200" s="5">
        <f t="shared" si="396"/>
        <v>-0.2</v>
      </c>
      <c r="V200" s="5">
        <f t="shared" si="396"/>
        <v>0.4</v>
      </c>
      <c r="W200" s="2">
        <f t="shared" ref="W200:Y200" si="397">Q200^2</f>
        <v>5.4197488606280229E-2</v>
      </c>
      <c r="X200" s="2">
        <f t="shared" si="397"/>
        <v>4.5164573970689181E-2</v>
      </c>
      <c r="Y200" s="2">
        <f t="shared" si="397"/>
        <v>9.9362062470877546E-2</v>
      </c>
    </row>
    <row r="201" spans="1:25" x14ac:dyDescent="0.7">
      <c r="A201" t="s">
        <v>56</v>
      </c>
      <c r="B201" s="3">
        <v>0.64899305555555553</v>
      </c>
      <c r="C201" t="s">
        <v>57</v>
      </c>
      <c r="D201" s="2">
        <v>37.632973333333332</v>
      </c>
      <c r="E201" t="s">
        <v>58</v>
      </c>
      <c r="F201" s="2">
        <v>141.01323333333332</v>
      </c>
      <c r="G201" t="s">
        <v>59</v>
      </c>
      <c r="H201" s="4">
        <v>0.37040000000000006</v>
      </c>
      <c r="I201" s="5">
        <v>91.3</v>
      </c>
      <c r="J201">
        <v>170220</v>
      </c>
      <c r="M201" t="s">
        <v>57</v>
      </c>
      <c r="N201" t="s">
        <v>90</v>
      </c>
      <c r="O201" s="2">
        <v>-4.3478259925677776E-7</v>
      </c>
      <c r="P201" s="2">
        <v>-7.24637686744245E-7</v>
      </c>
      <c r="Q201" s="2">
        <v>0</v>
      </c>
      <c r="R201" s="2">
        <v>0</v>
      </c>
      <c r="S201" s="2">
        <v>9.5041647553443909E-2</v>
      </c>
      <c r="T201" s="5">
        <f t="shared" ref="T201:V201" si="398">IFERROR(MROUND(Q201,0.2),-MROUND(ABS(Q201),0.2))</f>
        <v>0</v>
      </c>
      <c r="U201" s="5">
        <f t="shared" si="398"/>
        <v>0</v>
      </c>
      <c r="V201" s="5">
        <f t="shared" si="398"/>
        <v>0</v>
      </c>
      <c r="W201" s="2">
        <f t="shared" ref="W201:Y201" si="399">Q201^2</f>
        <v>0</v>
      </c>
      <c r="X201" s="2">
        <f t="shared" si="399"/>
        <v>0</v>
      </c>
      <c r="Y201" s="2">
        <f t="shared" si="399"/>
        <v>9.0329147696730505E-3</v>
      </c>
    </row>
    <row r="202" spans="1:25" x14ac:dyDescent="0.7">
      <c r="A202" t="s">
        <v>56</v>
      </c>
      <c r="B202" s="3">
        <v>0.64900462962962957</v>
      </c>
      <c r="C202" t="s">
        <v>57</v>
      </c>
      <c r="D202" s="2">
        <v>37.632975000000002</v>
      </c>
      <c r="E202" t="s">
        <v>58</v>
      </c>
      <c r="F202" s="2">
        <v>141.01323333333332</v>
      </c>
      <c r="G202" t="s">
        <v>59</v>
      </c>
      <c r="H202" s="4">
        <v>0</v>
      </c>
      <c r="I202" s="5">
        <v>91.3</v>
      </c>
      <c r="J202">
        <v>170220</v>
      </c>
      <c r="M202" t="s">
        <v>57</v>
      </c>
      <c r="N202" t="s">
        <v>62</v>
      </c>
      <c r="O202" s="2">
        <v>1.2318840703073874E-6</v>
      </c>
      <c r="P202" s="2">
        <v>-7.24637686744245E-7</v>
      </c>
      <c r="Q202" s="2">
        <v>0.13440918607627972</v>
      </c>
      <c r="R202" s="2">
        <v>0</v>
      </c>
      <c r="S202" s="2">
        <v>0.13440918607627972</v>
      </c>
      <c r="T202" s="5">
        <f t="shared" ref="T202:V202" si="400">IFERROR(MROUND(Q202,0.2),-MROUND(ABS(Q202),0.2))</f>
        <v>0.2</v>
      </c>
      <c r="U202" s="5">
        <f t="shared" si="400"/>
        <v>0</v>
      </c>
      <c r="V202" s="5">
        <f t="shared" si="400"/>
        <v>0.2</v>
      </c>
      <c r="W202" s="2">
        <f t="shared" ref="W202:Y202" si="401">Q202^2</f>
        <v>1.8065829301687986E-2</v>
      </c>
      <c r="X202" s="2">
        <f t="shared" si="401"/>
        <v>0</v>
      </c>
      <c r="Y202" s="2">
        <f t="shared" si="401"/>
        <v>1.8065829301687986E-2</v>
      </c>
    </row>
    <row r="203" spans="1:25" x14ac:dyDescent="0.7">
      <c r="A203" t="s">
        <v>56</v>
      </c>
      <c r="B203" s="3">
        <v>0.64903935185185191</v>
      </c>
      <c r="C203" t="s">
        <v>57</v>
      </c>
      <c r="D203" s="2">
        <v>37.632973333333332</v>
      </c>
      <c r="E203" t="s">
        <v>58</v>
      </c>
      <c r="F203" s="2">
        <v>141.01323333333332</v>
      </c>
      <c r="G203" t="s">
        <v>59</v>
      </c>
      <c r="H203" s="4">
        <v>0</v>
      </c>
      <c r="I203" s="5">
        <v>91.3</v>
      </c>
      <c r="J203">
        <v>170220</v>
      </c>
      <c r="M203" t="s">
        <v>57</v>
      </c>
      <c r="N203" t="s">
        <v>66</v>
      </c>
      <c r="O203" s="2">
        <v>-4.3478259925677776E-7</v>
      </c>
      <c r="P203" s="2">
        <v>-7.24637686744245E-7</v>
      </c>
      <c r="Q203" s="2">
        <v>0</v>
      </c>
      <c r="R203" s="2">
        <v>0</v>
      </c>
      <c r="S203" s="2">
        <v>9.5041647553443909E-2</v>
      </c>
      <c r="T203" s="5">
        <f t="shared" ref="T203:V203" si="402">IFERROR(MROUND(Q203,0.2),-MROUND(ABS(Q203),0.2))</f>
        <v>0</v>
      </c>
      <c r="U203" s="5">
        <f t="shared" si="402"/>
        <v>0</v>
      </c>
      <c r="V203" s="5">
        <f t="shared" si="402"/>
        <v>0</v>
      </c>
      <c r="W203" s="2">
        <f t="shared" ref="W203:Y203" si="403">Q203^2</f>
        <v>0</v>
      </c>
      <c r="X203" s="2">
        <f t="shared" si="403"/>
        <v>0</v>
      </c>
      <c r="Y203" s="2">
        <f t="shared" si="403"/>
        <v>9.0329147696730505E-3</v>
      </c>
    </row>
    <row r="204" spans="1:25" x14ac:dyDescent="0.7">
      <c r="A204" t="s">
        <v>56</v>
      </c>
      <c r="B204" s="3">
        <v>0.64905092592592595</v>
      </c>
      <c r="C204" t="s">
        <v>57</v>
      </c>
      <c r="D204" s="2">
        <v>37.632976666666664</v>
      </c>
      <c r="E204" t="s">
        <v>58</v>
      </c>
      <c r="F204" s="2">
        <v>141.01323333333332</v>
      </c>
      <c r="G204" t="s">
        <v>59</v>
      </c>
      <c r="H204" s="4">
        <v>0.37040000000000006</v>
      </c>
      <c r="I204" s="5">
        <v>91.3</v>
      </c>
      <c r="J204">
        <v>170220</v>
      </c>
      <c r="M204" t="s">
        <v>57</v>
      </c>
      <c r="N204" t="s">
        <v>88</v>
      </c>
      <c r="O204" s="2">
        <v>2.8985507327661253E-6</v>
      </c>
      <c r="P204" s="2">
        <v>-7.24637686744245E-7</v>
      </c>
      <c r="Q204" s="2">
        <v>0.31521748439906938</v>
      </c>
      <c r="R204" s="2">
        <v>0</v>
      </c>
      <c r="S204" s="2">
        <v>0.32923392455099521</v>
      </c>
      <c r="T204" s="5">
        <f t="shared" ref="T204:V204" si="404">IFERROR(MROUND(Q204,0.2),-MROUND(ABS(Q204),0.2))</f>
        <v>0.4</v>
      </c>
      <c r="U204" s="5">
        <f t="shared" si="404"/>
        <v>0</v>
      </c>
      <c r="V204" s="5">
        <f t="shared" si="404"/>
        <v>0.4</v>
      </c>
      <c r="W204" s="2">
        <f t="shared" ref="W204:Y204" si="405">Q204^2</f>
        <v>9.9362062470877546E-2</v>
      </c>
      <c r="X204" s="2">
        <f t="shared" si="405"/>
        <v>0</v>
      </c>
      <c r="Y204" s="2">
        <f t="shared" si="405"/>
        <v>0.10839497707525041</v>
      </c>
    </row>
    <row r="205" spans="1:25" x14ac:dyDescent="0.7">
      <c r="A205" t="s">
        <v>56</v>
      </c>
      <c r="B205" s="3">
        <v>0.64907407407407403</v>
      </c>
      <c r="C205" t="s">
        <v>57</v>
      </c>
      <c r="D205" s="2">
        <v>37.632979999999996</v>
      </c>
      <c r="E205" t="s">
        <v>58</v>
      </c>
      <c r="F205" s="2">
        <v>141.01323499999998</v>
      </c>
      <c r="G205" t="s">
        <v>59</v>
      </c>
      <c r="H205" s="4">
        <v>0</v>
      </c>
      <c r="I205" s="5">
        <v>91.3</v>
      </c>
      <c r="J205">
        <v>170220</v>
      </c>
      <c r="M205" t="s">
        <v>57</v>
      </c>
      <c r="N205" t="s">
        <v>64</v>
      </c>
      <c r="O205" s="2">
        <v>6.2318840647890283E-6</v>
      </c>
      <c r="P205" s="2">
        <v>9.4202897571449284E-7</v>
      </c>
      <c r="Q205" s="2">
        <v>0.69191363758910285</v>
      </c>
      <c r="R205" s="2">
        <v>0</v>
      </c>
      <c r="S205" s="2">
        <v>0.69841062238236473</v>
      </c>
      <c r="T205" s="5">
        <f t="shared" ref="T205:V205" si="406">IFERROR(MROUND(Q205,0.2),-MROUND(ABS(Q205),0.2))</f>
        <v>0.60000000000000009</v>
      </c>
      <c r="U205" s="5">
        <f t="shared" si="406"/>
        <v>0</v>
      </c>
      <c r="V205" s="5">
        <f t="shared" si="406"/>
        <v>0.60000000000000009</v>
      </c>
      <c r="W205" s="2">
        <f t="shared" ref="W205:Y205" si="407">Q205^2</f>
        <v>0.47874448188178437</v>
      </c>
      <c r="X205" s="2">
        <f t="shared" si="407"/>
        <v>0</v>
      </c>
      <c r="Y205" s="2">
        <f t="shared" si="407"/>
        <v>0.48777739745652204</v>
      </c>
    </row>
    <row r="206" spans="1:25" x14ac:dyDescent="0.7">
      <c r="A206" t="s">
        <v>56</v>
      </c>
      <c r="B206" s="3">
        <v>0.64908564814814818</v>
      </c>
      <c r="C206" t="s">
        <v>57</v>
      </c>
      <c r="D206" s="2">
        <v>37.632978333333334</v>
      </c>
      <c r="E206" t="s">
        <v>58</v>
      </c>
      <c r="F206" s="2">
        <v>141.01323333333332</v>
      </c>
      <c r="G206" t="s">
        <v>59</v>
      </c>
      <c r="H206" s="4">
        <v>0.18520000000000003</v>
      </c>
      <c r="I206" s="5">
        <v>91.3</v>
      </c>
      <c r="J206">
        <v>170220</v>
      </c>
      <c r="M206" t="s">
        <v>57</v>
      </c>
      <c r="N206" t="s">
        <v>60</v>
      </c>
      <c r="O206" s="2">
        <v>4.5652174023302905E-6</v>
      </c>
      <c r="P206" s="2">
        <v>-7.24637686744245E-7</v>
      </c>
      <c r="Q206" s="2">
        <v>0.50291312748962591</v>
      </c>
      <c r="R206" s="2">
        <v>0</v>
      </c>
      <c r="S206" s="2">
        <v>0.51181493468277584</v>
      </c>
      <c r="T206" s="5">
        <f t="shared" ref="T206:V206" si="408">IFERROR(MROUND(Q206,0.2),-MROUND(ABS(Q206),0.2))</f>
        <v>0.60000000000000009</v>
      </c>
      <c r="U206" s="5">
        <f t="shared" si="408"/>
        <v>0</v>
      </c>
      <c r="V206" s="5">
        <f t="shared" si="408"/>
        <v>0.60000000000000009</v>
      </c>
      <c r="W206" s="2">
        <f t="shared" ref="W206:Y206" si="409">Q206^2</f>
        <v>0.25292161380139672</v>
      </c>
      <c r="X206" s="2">
        <f t="shared" si="409"/>
        <v>0</v>
      </c>
      <c r="Y206" s="2">
        <f t="shared" si="409"/>
        <v>0.26195452736433411</v>
      </c>
    </row>
    <row r="207" spans="1:25" x14ac:dyDescent="0.7">
      <c r="A207" t="s">
        <v>56</v>
      </c>
      <c r="B207" s="3">
        <v>0.64909722222222221</v>
      </c>
      <c r="C207" t="s">
        <v>57</v>
      </c>
      <c r="D207" s="2">
        <v>37.632978333333334</v>
      </c>
      <c r="E207" t="s">
        <v>58</v>
      </c>
      <c r="F207" s="2">
        <v>141.01323499999998</v>
      </c>
      <c r="G207" t="s">
        <v>59</v>
      </c>
      <c r="H207" s="4">
        <v>0.37040000000000006</v>
      </c>
      <c r="I207" s="5">
        <v>91.3</v>
      </c>
      <c r="J207">
        <v>170220</v>
      </c>
      <c r="M207" t="s">
        <v>57</v>
      </c>
      <c r="N207" t="s">
        <v>62</v>
      </c>
      <c r="O207" s="2">
        <v>4.5652174023302905E-6</v>
      </c>
      <c r="P207" s="2">
        <v>9.4202897571449284E-7</v>
      </c>
      <c r="Q207" s="2">
        <v>0.50291312748962591</v>
      </c>
      <c r="R207" s="2">
        <v>0</v>
      </c>
      <c r="S207" s="2">
        <v>0.51181493468277584</v>
      </c>
      <c r="T207" s="5">
        <f t="shared" ref="T207:V207" si="410">IFERROR(MROUND(Q207,0.2),-MROUND(ABS(Q207),0.2))</f>
        <v>0.60000000000000009</v>
      </c>
      <c r="U207" s="5">
        <f t="shared" si="410"/>
        <v>0</v>
      </c>
      <c r="V207" s="5">
        <f t="shared" si="410"/>
        <v>0.60000000000000009</v>
      </c>
      <c r="W207" s="2">
        <f t="shared" ref="W207:Y207" si="411">Q207^2</f>
        <v>0.25292161380139672</v>
      </c>
      <c r="X207" s="2">
        <f t="shared" si="411"/>
        <v>0</v>
      </c>
      <c r="Y207" s="2">
        <f t="shared" si="411"/>
        <v>0.26195452736433411</v>
      </c>
    </row>
    <row r="208" spans="1:25" x14ac:dyDescent="0.7">
      <c r="A208" t="s">
        <v>56</v>
      </c>
      <c r="B208" s="3">
        <v>0.64910879629629636</v>
      </c>
      <c r="C208" t="s">
        <v>57</v>
      </c>
      <c r="D208" s="2">
        <v>37.632979999999996</v>
      </c>
      <c r="E208" t="s">
        <v>58</v>
      </c>
      <c r="F208" s="2">
        <v>141.01323499999998</v>
      </c>
      <c r="G208" t="s">
        <v>59</v>
      </c>
      <c r="H208" s="4">
        <v>0</v>
      </c>
      <c r="I208" s="5">
        <v>91.3</v>
      </c>
      <c r="J208">
        <v>170220</v>
      </c>
      <c r="M208" t="s">
        <v>57</v>
      </c>
      <c r="N208" t="s">
        <v>63</v>
      </c>
      <c r="O208" s="2">
        <v>6.2318840647890283E-6</v>
      </c>
      <c r="P208" s="2">
        <v>9.4202897571449284E-7</v>
      </c>
      <c r="Q208" s="2">
        <v>0.69191363758910285</v>
      </c>
      <c r="R208" s="2">
        <v>0</v>
      </c>
      <c r="S208" s="2">
        <v>0.69841062238236473</v>
      </c>
      <c r="T208" s="5">
        <f t="shared" ref="T208:V208" si="412">IFERROR(MROUND(Q208,0.2),-MROUND(ABS(Q208),0.2))</f>
        <v>0.60000000000000009</v>
      </c>
      <c r="U208" s="5">
        <f t="shared" si="412"/>
        <v>0</v>
      </c>
      <c r="V208" s="5">
        <f t="shared" si="412"/>
        <v>0.60000000000000009</v>
      </c>
      <c r="W208" s="2">
        <f t="shared" ref="W208:Y208" si="413">Q208^2</f>
        <v>0.47874448188178437</v>
      </c>
      <c r="X208" s="2">
        <f t="shared" si="413"/>
        <v>0</v>
      </c>
      <c r="Y208" s="2">
        <f t="shared" si="413"/>
        <v>0.48777739745652204</v>
      </c>
    </row>
    <row r="209" spans="1:25" x14ac:dyDescent="0.7">
      <c r="A209" t="s">
        <v>56</v>
      </c>
      <c r="B209" s="3">
        <v>0.6491203703703704</v>
      </c>
      <c r="C209" t="s">
        <v>57</v>
      </c>
      <c r="D209" s="2">
        <v>37.632978333333334</v>
      </c>
      <c r="E209" t="s">
        <v>58</v>
      </c>
      <c r="F209" s="2">
        <v>141.01323666666667</v>
      </c>
      <c r="G209" t="s">
        <v>59</v>
      </c>
      <c r="H209" s="4">
        <v>0</v>
      </c>
      <c r="I209" s="5">
        <v>91.3</v>
      </c>
      <c r="J209">
        <v>170220</v>
      </c>
      <c r="M209" t="s">
        <v>57</v>
      </c>
      <c r="N209" t="s">
        <v>69</v>
      </c>
      <c r="O209" s="2">
        <v>4.5652174023302905E-6</v>
      </c>
      <c r="P209" s="2">
        <v>2.6086956665949401E-6</v>
      </c>
      <c r="Q209" s="2">
        <v>0.50291312748962591</v>
      </c>
      <c r="R209" s="2">
        <v>0.21251958491087164</v>
      </c>
      <c r="S209" s="2">
        <v>0.55418327389718169</v>
      </c>
      <c r="T209" s="5">
        <f t="shared" ref="T209:V209" si="414">IFERROR(MROUND(Q209,0.2),-MROUND(ABS(Q209),0.2))</f>
        <v>0.60000000000000009</v>
      </c>
      <c r="U209" s="5">
        <f t="shared" si="414"/>
        <v>0.2</v>
      </c>
      <c r="V209" s="5">
        <f t="shared" si="414"/>
        <v>0.60000000000000009</v>
      </c>
      <c r="W209" s="2">
        <f t="shared" ref="W209:Y209" si="415">Q209^2</f>
        <v>0.25292161380139672</v>
      </c>
      <c r="X209" s="2">
        <f t="shared" si="415"/>
        <v>4.5164573970689181E-2</v>
      </c>
      <c r="Y209" s="2">
        <f t="shared" si="415"/>
        <v>0.3071191010673987</v>
      </c>
    </row>
    <row r="210" spans="1:25" x14ac:dyDescent="0.7">
      <c r="A210" t="s">
        <v>56</v>
      </c>
      <c r="B210" s="3">
        <v>0.64913194444444444</v>
      </c>
      <c r="C210" t="s">
        <v>57</v>
      </c>
      <c r="D210" s="2">
        <v>37.632976666666664</v>
      </c>
      <c r="E210" t="s">
        <v>58</v>
      </c>
      <c r="F210" s="2">
        <v>141.01323833333333</v>
      </c>
      <c r="G210" t="s">
        <v>59</v>
      </c>
      <c r="H210" s="4">
        <v>0</v>
      </c>
      <c r="I210" s="5">
        <v>91.3</v>
      </c>
      <c r="J210">
        <v>170220</v>
      </c>
      <c r="M210" t="s">
        <v>57</v>
      </c>
      <c r="N210" t="s">
        <v>70</v>
      </c>
      <c r="O210" s="2">
        <v>2.8985507327661253E-6</v>
      </c>
      <c r="P210" s="2">
        <v>4.275362329053678E-6</v>
      </c>
      <c r="Q210" s="2">
        <v>0.31521748439906938</v>
      </c>
      <c r="R210" s="2">
        <v>0.36809471724311571</v>
      </c>
      <c r="S210" s="2">
        <v>0.49385088682649281</v>
      </c>
      <c r="T210" s="5">
        <f t="shared" ref="T210:V210" si="416">IFERROR(MROUND(Q210,0.2),-MROUND(ABS(Q210),0.2))</f>
        <v>0.4</v>
      </c>
      <c r="U210" s="5">
        <f t="shared" si="416"/>
        <v>0.4</v>
      </c>
      <c r="V210" s="5">
        <f t="shared" si="416"/>
        <v>0.4</v>
      </c>
      <c r="W210" s="2">
        <f t="shared" ref="W210:Y210" si="417">Q210^2</f>
        <v>9.9362062470877546E-2</v>
      </c>
      <c r="X210" s="2">
        <f t="shared" si="417"/>
        <v>0.13549372086228931</v>
      </c>
      <c r="Y210" s="2">
        <f t="shared" si="417"/>
        <v>0.2438886984193134</v>
      </c>
    </row>
    <row r="211" spans="1:25" x14ac:dyDescent="0.7">
      <c r="A211" t="s">
        <v>56</v>
      </c>
      <c r="B211" s="3">
        <v>0.64914351851851848</v>
      </c>
      <c r="C211" t="s">
        <v>57</v>
      </c>
      <c r="D211" s="2">
        <v>37.632976666666664</v>
      </c>
      <c r="E211" t="s">
        <v>58</v>
      </c>
      <c r="F211" s="2">
        <v>141.01324000000002</v>
      </c>
      <c r="G211" t="s">
        <v>59</v>
      </c>
      <c r="H211" s="4">
        <v>0</v>
      </c>
      <c r="I211" s="5">
        <v>91.3</v>
      </c>
      <c r="J211">
        <v>170220</v>
      </c>
      <c r="M211" t="s">
        <v>57</v>
      </c>
      <c r="N211" t="s">
        <v>66</v>
      </c>
      <c r="O211" s="2">
        <v>2.8985507327661253E-6</v>
      </c>
      <c r="P211" s="2">
        <v>5.9420290199341252E-6</v>
      </c>
      <c r="Q211" s="2">
        <v>0.31521748439906938</v>
      </c>
      <c r="R211" s="2">
        <v>0.5205645423724552</v>
      </c>
      <c r="S211" s="2">
        <v>0.60856347612988437</v>
      </c>
      <c r="T211" s="5">
        <f t="shared" ref="T211:V211" si="418">IFERROR(MROUND(Q211,0.2),-MROUND(ABS(Q211),0.2))</f>
        <v>0.4</v>
      </c>
      <c r="U211" s="5">
        <f t="shared" si="418"/>
        <v>0.60000000000000009</v>
      </c>
      <c r="V211" s="5">
        <f t="shared" si="418"/>
        <v>0.60000000000000009</v>
      </c>
      <c r="W211" s="2">
        <f t="shared" ref="W211:Y211" si="419">Q211^2</f>
        <v>9.9362062470877546E-2</v>
      </c>
      <c r="X211" s="2">
        <f t="shared" si="419"/>
        <v>0.27098744277544368</v>
      </c>
      <c r="Y211" s="2">
        <f t="shared" si="419"/>
        <v>0.37034950447928833</v>
      </c>
    </row>
    <row r="212" spans="1:25" x14ac:dyDescent="0.7">
      <c r="A212" t="s">
        <v>56</v>
      </c>
      <c r="B212" s="3">
        <v>0.64915509259259252</v>
      </c>
      <c r="C212" t="s">
        <v>57</v>
      </c>
      <c r="D212" s="2">
        <v>37.632978333333334</v>
      </c>
      <c r="E212" t="s">
        <v>58</v>
      </c>
      <c r="F212" s="2">
        <v>141.01323833333333</v>
      </c>
      <c r="G212" t="s">
        <v>59</v>
      </c>
      <c r="H212" s="4">
        <v>0.55559999999999998</v>
      </c>
      <c r="I212" s="5">
        <v>91.3</v>
      </c>
      <c r="J212">
        <v>170220</v>
      </c>
      <c r="M212" t="s">
        <v>57</v>
      </c>
      <c r="N212" t="s">
        <v>70</v>
      </c>
      <c r="O212" s="2">
        <v>4.5652174023302905E-6</v>
      </c>
      <c r="P212" s="2">
        <v>4.275362329053678E-6</v>
      </c>
      <c r="Q212" s="2">
        <v>0.50291312748962591</v>
      </c>
      <c r="R212" s="2">
        <v>0.36809471724311571</v>
      </c>
      <c r="S212" s="2">
        <v>0.63043496879813876</v>
      </c>
      <c r="T212" s="5">
        <f t="shared" ref="T212:V212" si="420">IFERROR(MROUND(Q212,0.2),-MROUND(ABS(Q212),0.2))</f>
        <v>0.60000000000000009</v>
      </c>
      <c r="U212" s="5">
        <f t="shared" si="420"/>
        <v>0.4</v>
      </c>
      <c r="V212" s="5">
        <f t="shared" si="420"/>
        <v>0.60000000000000009</v>
      </c>
      <c r="W212" s="2">
        <f t="shared" ref="W212:Y212" si="421">Q212^2</f>
        <v>0.25292161380139672</v>
      </c>
      <c r="X212" s="2">
        <f t="shared" si="421"/>
        <v>0.13549372086228931</v>
      </c>
      <c r="Y212" s="2">
        <f t="shared" si="421"/>
        <v>0.39744824988351019</v>
      </c>
    </row>
    <row r="213" spans="1:25" x14ac:dyDescent="0.7">
      <c r="A213" t="s">
        <v>56</v>
      </c>
      <c r="B213" s="3">
        <v>0.64916666666666667</v>
      </c>
      <c r="C213" t="s">
        <v>57</v>
      </c>
      <c r="D213" s="2">
        <v>37.632978333333334</v>
      </c>
      <c r="E213" t="s">
        <v>58</v>
      </c>
      <c r="F213" s="2">
        <v>141.01323666666667</v>
      </c>
      <c r="G213" t="s">
        <v>59</v>
      </c>
      <c r="H213" s="4">
        <v>0</v>
      </c>
      <c r="I213" s="5">
        <v>91.3</v>
      </c>
      <c r="J213">
        <v>170220</v>
      </c>
      <c r="M213" t="s">
        <v>57</v>
      </c>
      <c r="N213" t="s">
        <v>68</v>
      </c>
      <c r="O213" s="2">
        <v>4.5652174023302905E-6</v>
      </c>
      <c r="P213" s="2">
        <v>2.6086956665949401E-6</v>
      </c>
      <c r="Q213" s="2">
        <v>0.50291312748962591</v>
      </c>
      <c r="R213" s="2">
        <v>0.21251958491087164</v>
      </c>
      <c r="S213" s="2">
        <v>0.55418327389718169</v>
      </c>
      <c r="T213" s="5">
        <f t="shared" ref="T213:V213" si="422">IFERROR(MROUND(Q213,0.2),-MROUND(ABS(Q213),0.2))</f>
        <v>0.60000000000000009</v>
      </c>
      <c r="U213" s="5">
        <f t="shared" si="422"/>
        <v>0.2</v>
      </c>
      <c r="V213" s="5">
        <f t="shared" si="422"/>
        <v>0.60000000000000009</v>
      </c>
      <c r="W213" s="2">
        <f t="shared" ref="W213:Y213" si="423">Q213^2</f>
        <v>0.25292161380139672</v>
      </c>
      <c r="X213" s="2">
        <f t="shared" si="423"/>
        <v>4.5164573970689181E-2</v>
      </c>
      <c r="Y213" s="2">
        <f t="shared" si="423"/>
        <v>0.3071191010673987</v>
      </c>
    </row>
    <row r="214" spans="1:25" x14ac:dyDescent="0.7">
      <c r="A214" t="s">
        <v>56</v>
      </c>
      <c r="B214" s="3">
        <v>0.64921296296296294</v>
      </c>
      <c r="C214" t="s">
        <v>57</v>
      </c>
      <c r="D214" s="2">
        <v>37.63297166666667</v>
      </c>
      <c r="E214" t="s">
        <v>58</v>
      </c>
      <c r="F214" s="2">
        <v>141.01323666666667</v>
      </c>
      <c r="G214" t="s">
        <v>59</v>
      </c>
      <c r="H214" s="4">
        <v>0.37040000000000006</v>
      </c>
      <c r="I214" s="5">
        <v>91.3</v>
      </c>
      <c r="J214">
        <v>170220</v>
      </c>
      <c r="M214" t="s">
        <v>57</v>
      </c>
      <c r="N214" t="s">
        <v>70</v>
      </c>
      <c r="O214" s="2">
        <v>-2.1014492617155156E-6</v>
      </c>
      <c r="P214" s="2">
        <v>2.6086956665949401E-6</v>
      </c>
      <c r="Q214" s="2">
        <v>-0.23280354079412158</v>
      </c>
      <c r="R214" s="2">
        <v>0.21251958491087164</v>
      </c>
      <c r="S214" s="2">
        <v>0.31521748439906938</v>
      </c>
      <c r="T214" s="5">
        <f t="shared" ref="T214:V214" si="424">IFERROR(MROUND(Q214,0.2),-MROUND(ABS(Q214),0.2))</f>
        <v>-0.2</v>
      </c>
      <c r="U214" s="5">
        <f t="shared" si="424"/>
        <v>0.2</v>
      </c>
      <c r="V214" s="5">
        <f t="shared" si="424"/>
        <v>0.4</v>
      </c>
      <c r="W214" s="2">
        <f t="shared" ref="W214:Y214" si="425">Q214^2</f>
        <v>5.4197488606280229E-2</v>
      </c>
      <c r="X214" s="2">
        <f t="shared" si="425"/>
        <v>4.5164573970689181E-2</v>
      </c>
      <c r="Y214" s="2">
        <f t="shared" si="425"/>
        <v>9.9362062470877546E-2</v>
      </c>
    </row>
    <row r="215" spans="1:25" x14ac:dyDescent="0.7">
      <c r="A215" t="s">
        <v>56</v>
      </c>
      <c r="B215" s="3">
        <v>0.64922453703703698</v>
      </c>
      <c r="C215" t="s">
        <v>57</v>
      </c>
      <c r="D215" s="2">
        <v>37.63297166666667</v>
      </c>
      <c r="E215" t="s">
        <v>58</v>
      </c>
      <c r="F215" s="2">
        <v>141.01323333333332</v>
      </c>
      <c r="G215" t="s">
        <v>59</v>
      </c>
      <c r="H215" s="4">
        <v>0.37040000000000006</v>
      </c>
      <c r="I215" s="5">
        <v>91.3</v>
      </c>
      <c r="J215">
        <v>170220</v>
      </c>
      <c r="M215" t="s">
        <v>57</v>
      </c>
      <c r="N215" t="s">
        <v>91</v>
      </c>
      <c r="O215" s="2">
        <v>-2.1014492617155156E-6</v>
      </c>
      <c r="P215" s="2">
        <v>-7.24637686744245E-7</v>
      </c>
      <c r="Q215" s="2">
        <v>-0.23280354079412158</v>
      </c>
      <c r="R215" s="2">
        <v>0</v>
      </c>
      <c r="S215" s="2">
        <v>0.23280354079412158</v>
      </c>
      <c r="T215" s="5">
        <f t="shared" ref="T215:V215" si="426">IFERROR(MROUND(Q215,0.2),-MROUND(ABS(Q215),0.2))</f>
        <v>-0.2</v>
      </c>
      <c r="U215" s="5">
        <f t="shared" si="426"/>
        <v>0</v>
      </c>
      <c r="V215" s="5">
        <f t="shared" si="426"/>
        <v>0.2</v>
      </c>
      <c r="W215" s="2">
        <f t="shared" ref="W215:Y215" si="427">Q215^2</f>
        <v>5.4197488606280229E-2</v>
      </c>
      <c r="X215" s="2">
        <f t="shared" si="427"/>
        <v>0</v>
      </c>
      <c r="Y215" s="2">
        <f t="shared" si="427"/>
        <v>5.4197488606280229E-2</v>
      </c>
    </row>
    <row r="216" spans="1:25" x14ac:dyDescent="0.7">
      <c r="A216" t="s">
        <v>56</v>
      </c>
      <c r="B216" s="3">
        <v>0.64923611111111112</v>
      </c>
      <c r="C216" t="s">
        <v>57</v>
      </c>
      <c r="D216" s="2">
        <v>37.63297166666667</v>
      </c>
      <c r="E216" t="s">
        <v>58</v>
      </c>
      <c r="F216" s="2">
        <v>141.01323333333332</v>
      </c>
      <c r="G216" t="s">
        <v>59</v>
      </c>
      <c r="H216" s="4">
        <v>0.55559999999999998</v>
      </c>
      <c r="I216" s="5">
        <v>91.3</v>
      </c>
      <c r="J216">
        <v>170220</v>
      </c>
      <c r="M216" t="s">
        <v>57</v>
      </c>
      <c r="N216" t="s">
        <v>87</v>
      </c>
      <c r="O216" s="2">
        <v>-2.1014492617155156E-6</v>
      </c>
      <c r="P216" s="2">
        <v>-7.24637686744245E-7</v>
      </c>
      <c r="Q216" s="2">
        <v>-0.23280354079412158</v>
      </c>
      <c r="R216" s="2">
        <v>0</v>
      </c>
      <c r="S216" s="2">
        <v>0.23280354079412158</v>
      </c>
      <c r="T216" s="5">
        <f t="shared" ref="T216:V216" si="428">IFERROR(MROUND(Q216,0.2),-MROUND(ABS(Q216),0.2))</f>
        <v>-0.2</v>
      </c>
      <c r="U216" s="5">
        <f t="shared" si="428"/>
        <v>0</v>
      </c>
      <c r="V216" s="5">
        <f t="shared" si="428"/>
        <v>0.2</v>
      </c>
      <c r="W216" s="2">
        <f t="shared" ref="W216:Y216" si="429">Q216^2</f>
        <v>5.4197488606280229E-2</v>
      </c>
      <c r="X216" s="2">
        <f t="shared" si="429"/>
        <v>0</v>
      </c>
      <c r="Y216" s="2">
        <f t="shared" si="429"/>
        <v>5.4197488606280229E-2</v>
      </c>
    </row>
    <row r="217" spans="1:25" x14ac:dyDescent="0.7">
      <c r="A217" t="s">
        <v>56</v>
      </c>
      <c r="B217" s="3">
        <v>0.65005787037037044</v>
      </c>
      <c r="C217" t="s">
        <v>57</v>
      </c>
      <c r="D217" s="2">
        <v>37.632939999999998</v>
      </c>
      <c r="E217" t="s">
        <v>58</v>
      </c>
      <c r="F217" s="2">
        <v>141.01327166666667</v>
      </c>
      <c r="G217" t="s">
        <v>59</v>
      </c>
      <c r="H217" s="4">
        <v>0.37040000000000006</v>
      </c>
      <c r="I217" s="5">
        <v>72.3</v>
      </c>
      <c r="J217">
        <v>170220</v>
      </c>
      <c r="M217" t="s">
        <v>57</v>
      </c>
      <c r="N217" t="s">
        <v>60</v>
      </c>
      <c r="O217" s="2">
        <v>-5.2777777597157183E-6</v>
      </c>
      <c r="P217" s="2">
        <v>2.0138889169629692E-6</v>
      </c>
      <c r="Q217" s="2">
        <v>-0.58587606309334395</v>
      </c>
      <c r="R217" s="2">
        <v>0.19008329510688782</v>
      </c>
      <c r="S217" s="2">
        <v>0.61594027313272059</v>
      </c>
      <c r="T217" s="5">
        <f t="shared" ref="T217:V217" si="430">IFERROR(MROUND(Q217,0.2),-MROUND(ABS(Q217),0.2))</f>
        <v>-0.60000000000000009</v>
      </c>
      <c r="U217" s="5">
        <f t="shared" si="430"/>
        <v>0.2</v>
      </c>
      <c r="V217" s="5">
        <f t="shared" si="430"/>
        <v>0.60000000000000009</v>
      </c>
      <c r="W217" s="2">
        <f t="shared" ref="W217:Y217" si="431">Q217^2</f>
        <v>0.34325076130575594</v>
      </c>
      <c r="X217" s="2">
        <f t="shared" si="431"/>
        <v>3.6131659078692202E-2</v>
      </c>
      <c r="Y217" s="2">
        <f t="shared" si="431"/>
        <v>0.37938242006681044</v>
      </c>
    </row>
    <row r="218" spans="1:25" x14ac:dyDescent="0.7">
      <c r="A218" t="s">
        <v>56</v>
      </c>
      <c r="B218" s="3">
        <v>0.65006944444444448</v>
      </c>
      <c r="C218" t="s">
        <v>57</v>
      </c>
      <c r="D218" s="2">
        <v>37.632941666666667</v>
      </c>
      <c r="E218" t="s">
        <v>58</v>
      </c>
      <c r="F218" s="2">
        <v>141.01327166666667</v>
      </c>
      <c r="G218" t="s">
        <v>59</v>
      </c>
      <c r="H218" s="4">
        <v>0</v>
      </c>
      <c r="I218" s="5">
        <v>72.3</v>
      </c>
      <c r="J218">
        <v>170220</v>
      </c>
      <c r="M218" t="s">
        <v>57</v>
      </c>
      <c r="N218" t="s">
        <v>60</v>
      </c>
      <c r="O218" s="2">
        <v>-3.6111110901515531E-6</v>
      </c>
      <c r="P218" s="2">
        <v>2.0138889169629692E-6</v>
      </c>
      <c r="Q218" s="2">
        <v>-0.40322756106130098</v>
      </c>
      <c r="R218" s="2">
        <v>0.19008329510688782</v>
      </c>
      <c r="S218" s="2">
        <v>0.4457848410576839</v>
      </c>
      <c r="T218" s="5">
        <f t="shared" ref="T218:V218" si="432">IFERROR(MROUND(Q218,0.2),-MROUND(ABS(Q218),0.2))</f>
        <v>-0.4</v>
      </c>
      <c r="U218" s="5">
        <f t="shared" si="432"/>
        <v>0.2</v>
      </c>
      <c r="V218" s="5">
        <f t="shared" si="432"/>
        <v>0.4</v>
      </c>
      <c r="W218" s="2">
        <f t="shared" ref="W218:Y218" si="433">Q218^2</f>
        <v>0.16259246599944521</v>
      </c>
      <c r="X218" s="2">
        <f t="shared" si="433"/>
        <v>3.6131659078692202E-2</v>
      </c>
      <c r="Y218" s="2">
        <f t="shared" si="433"/>
        <v>0.1987241245168245</v>
      </c>
    </row>
    <row r="219" spans="1:25" x14ac:dyDescent="0.7">
      <c r="A219" t="s">
        <v>56</v>
      </c>
      <c r="B219" s="3">
        <v>0.65009259259259256</v>
      </c>
      <c r="C219" t="s">
        <v>57</v>
      </c>
      <c r="D219" s="2">
        <v>37.63294333333333</v>
      </c>
      <c r="E219" t="s">
        <v>58</v>
      </c>
      <c r="F219" s="2">
        <v>141.01327166666667</v>
      </c>
      <c r="G219" t="s">
        <v>59</v>
      </c>
      <c r="H219" s="4">
        <v>0</v>
      </c>
      <c r="I219" s="5">
        <v>72.3</v>
      </c>
      <c r="J219">
        <v>170220</v>
      </c>
      <c r="M219" t="s">
        <v>57</v>
      </c>
      <c r="N219" t="s">
        <v>63</v>
      </c>
      <c r="O219" s="2">
        <v>-1.9444444276928152E-6</v>
      </c>
      <c r="P219" s="2">
        <v>2.0138889169629692E-6</v>
      </c>
      <c r="Q219" s="2">
        <v>-0.21251958491087164</v>
      </c>
      <c r="R219" s="2">
        <v>0.19008329510688782</v>
      </c>
      <c r="S219" s="2">
        <v>0.28512494266033173</v>
      </c>
      <c r="T219" s="5">
        <f t="shared" ref="T219:V219" si="434">IFERROR(MROUND(Q219,0.2),-MROUND(ABS(Q219),0.2))</f>
        <v>-0.2</v>
      </c>
      <c r="U219" s="5">
        <f t="shared" si="434"/>
        <v>0.2</v>
      </c>
      <c r="V219" s="5">
        <f t="shared" si="434"/>
        <v>0.2</v>
      </c>
      <c r="W219" s="2">
        <f t="shared" ref="W219:Y219" si="435">Q219^2</f>
        <v>4.5164573970689181E-2</v>
      </c>
      <c r="X219" s="2">
        <f t="shared" si="435"/>
        <v>3.6131659078692202E-2</v>
      </c>
      <c r="Y219" s="2">
        <f t="shared" si="435"/>
        <v>8.1296232927057455E-2</v>
      </c>
    </row>
    <row r="220" spans="1:25" x14ac:dyDescent="0.7">
      <c r="A220" t="s">
        <v>56</v>
      </c>
      <c r="B220" s="3">
        <v>0.65010416666666659</v>
      </c>
      <c r="C220" t="s">
        <v>57</v>
      </c>
      <c r="D220" s="2">
        <v>37.632944999999999</v>
      </c>
      <c r="E220" t="s">
        <v>58</v>
      </c>
      <c r="F220" s="2">
        <v>141.01327000000001</v>
      </c>
      <c r="G220" t="s">
        <v>59</v>
      </c>
      <c r="H220" s="4">
        <v>0</v>
      </c>
      <c r="I220" s="5">
        <v>72.3</v>
      </c>
      <c r="J220">
        <v>170220</v>
      </c>
      <c r="M220" t="s">
        <v>57</v>
      </c>
      <c r="N220" t="s">
        <v>88</v>
      </c>
      <c r="O220" s="2">
        <v>-2.7777775812865002E-7</v>
      </c>
      <c r="P220" s="2">
        <v>3.4722225450423139E-7</v>
      </c>
      <c r="Q220" s="2">
        <v>-9.5041647553443909E-2</v>
      </c>
      <c r="R220" s="2">
        <v>0</v>
      </c>
      <c r="S220" s="2">
        <v>9.5041647553443909E-2</v>
      </c>
      <c r="T220" s="5">
        <f t="shared" ref="T220:V220" si="436">IFERROR(MROUND(Q220,0.2),-MROUND(ABS(Q220),0.2))</f>
        <v>0</v>
      </c>
      <c r="U220" s="5">
        <f t="shared" si="436"/>
        <v>0</v>
      </c>
      <c r="V220" s="5">
        <f t="shared" si="436"/>
        <v>0</v>
      </c>
      <c r="W220" s="2">
        <f t="shared" ref="W220:Y220" si="437">Q220^2</f>
        <v>9.0329147696730505E-3</v>
      </c>
      <c r="X220" s="2">
        <f t="shared" si="437"/>
        <v>0</v>
      </c>
      <c r="Y220" s="2">
        <f t="shared" si="437"/>
        <v>9.0329147696730505E-3</v>
      </c>
    </row>
    <row r="221" spans="1:25" x14ac:dyDescent="0.7">
      <c r="A221" t="s">
        <v>56</v>
      </c>
      <c r="B221" s="3">
        <v>0.65011574074074074</v>
      </c>
      <c r="C221" t="s">
        <v>57</v>
      </c>
      <c r="D221" s="2">
        <v>37.632948333333339</v>
      </c>
      <c r="E221" t="s">
        <v>58</v>
      </c>
      <c r="F221" s="2">
        <v>141.01326666666668</v>
      </c>
      <c r="G221" t="s">
        <v>59</v>
      </c>
      <c r="H221" s="4">
        <v>0.37040000000000006</v>
      </c>
      <c r="I221" s="5">
        <v>72.3</v>
      </c>
      <c r="J221">
        <v>170220</v>
      </c>
      <c r="M221" t="s">
        <v>57</v>
      </c>
      <c r="N221" t="s">
        <v>68</v>
      </c>
      <c r="O221" s="2">
        <v>3.0555555809996804E-6</v>
      </c>
      <c r="P221" s="2">
        <v>-2.9861110704132443E-6</v>
      </c>
      <c r="Q221" s="2">
        <v>0.34267753328923733</v>
      </c>
      <c r="R221" s="2">
        <v>-0.26881837356879035</v>
      </c>
      <c r="S221" s="2">
        <v>0.42503916840551237</v>
      </c>
      <c r="T221" s="5">
        <f t="shared" ref="T221:V221" si="438">IFERROR(MROUND(Q221,0.2),-MROUND(ABS(Q221),0.2))</f>
        <v>0.4</v>
      </c>
      <c r="U221" s="5">
        <f t="shared" si="438"/>
        <v>-0.2</v>
      </c>
      <c r="V221" s="5">
        <f t="shared" si="438"/>
        <v>0.4</v>
      </c>
      <c r="W221" s="2">
        <f t="shared" ref="W221:Y221" si="439">Q221^2</f>
        <v>0.11742789182119637</v>
      </c>
      <c r="X221" s="2">
        <f t="shared" si="439"/>
        <v>7.2263317968169719E-2</v>
      </c>
      <c r="Y221" s="2">
        <f t="shared" si="439"/>
        <v>0.1806582946788495</v>
      </c>
    </row>
    <row r="222" spans="1:25" x14ac:dyDescent="0.7">
      <c r="A222" t="s">
        <v>56</v>
      </c>
      <c r="B222" s="3">
        <v>0.65012731481481478</v>
      </c>
      <c r="C222" t="s">
        <v>57</v>
      </c>
      <c r="D222" s="2">
        <v>37.632950000000001</v>
      </c>
      <c r="E222" t="s">
        <v>58</v>
      </c>
      <c r="F222" s="2">
        <v>141.01326499999999</v>
      </c>
      <c r="G222" t="s">
        <v>59</v>
      </c>
      <c r="H222" s="4">
        <v>0.37040000000000006</v>
      </c>
      <c r="I222" s="5">
        <v>72.3</v>
      </c>
      <c r="J222">
        <v>170220</v>
      </c>
      <c r="M222" t="s">
        <v>57</v>
      </c>
      <c r="N222" t="s">
        <v>65</v>
      </c>
      <c r="O222" s="2">
        <v>4.7222222434584182E-6</v>
      </c>
      <c r="P222" s="2">
        <v>-4.6527777612936916E-6</v>
      </c>
      <c r="Q222" s="2">
        <v>0.52916949765318511</v>
      </c>
      <c r="R222" s="2">
        <v>-0.41427693655817155</v>
      </c>
      <c r="S222" s="2">
        <v>0.67204593463009132</v>
      </c>
      <c r="T222" s="5">
        <f t="shared" ref="T222:V222" si="440">IFERROR(MROUND(Q222,0.2),-MROUND(ABS(Q222),0.2))</f>
        <v>0.60000000000000009</v>
      </c>
      <c r="U222" s="5">
        <f t="shared" si="440"/>
        <v>-0.4</v>
      </c>
      <c r="V222" s="5">
        <f t="shared" si="440"/>
        <v>0.60000000000000009</v>
      </c>
      <c r="W222" s="2">
        <f t="shared" ref="W222:Y222" si="441">Q222^2</f>
        <v>0.2800203572465243</v>
      </c>
      <c r="X222" s="2">
        <f t="shared" si="441"/>
        <v>0.17162538016402329</v>
      </c>
      <c r="Y222" s="2">
        <f t="shared" si="441"/>
        <v>0.451645738252833</v>
      </c>
    </row>
    <row r="223" spans="1:25" x14ac:dyDescent="0.7">
      <c r="A223" t="s">
        <v>56</v>
      </c>
      <c r="B223" s="3">
        <v>0.65013888888888893</v>
      </c>
      <c r="C223" t="s">
        <v>57</v>
      </c>
      <c r="D223" s="2">
        <v>37.632946666666662</v>
      </c>
      <c r="E223" t="s">
        <v>58</v>
      </c>
      <c r="F223" s="2">
        <v>141.01326499999999</v>
      </c>
      <c r="G223" t="s">
        <v>59</v>
      </c>
      <c r="H223" s="4">
        <v>0</v>
      </c>
      <c r="I223" s="5">
        <v>72.3</v>
      </c>
      <c r="J223">
        <v>170220</v>
      </c>
      <c r="M223" t="s">
        <v>57</v>
      </c>
      <c r="N223" t="s">
        <v>62</v>
      </c>
      <c r="O223" s="2">
        <v>1.3888889043300878E-6</v>
      </c>
      <c r="P223" s="2">
        <v>-4.6527777612936916E-6</v>
      </c>
      <c r="Q223" s="2">
        <v>0.1646169622754976</v>
      </c>
      <c r="R223" s="2">
        <v>-0.41427693655817155</v>
      </c>
      <c r="S223" s="2">
        <v>0.4457848410576839</v>
      </c>
      <c r="T223" s="5">
        <f t="shared" ref="T223:V223" si="442">IFERROR(MROUND(Q223,0.2),-MROUND(ABS(Q223),0.2))</f>
        <v>0.2</v>
      </c>
      <c r="U223" s="5">
        <f t="shared" si="442"/>
        <v>-0.4</v>
      </c>
      <c r="V223" s="5">
        <f t="shared" si="442"/>
        <v>0.4</v>
      </c>
      <c r="W223" s="2">
        <f t="shared" ref="W223:Y223" si="443">Q223^2</f>
        <v>2.7098744268812602E-2</v>
      </c>
      <c r="X223" s="2">
        <f t="shared" si="443"/>
        <v>0.17162538016402329</v>
      </c>
      <c r="Y223" s="2">
        <f t="shared" si="443"/>
        <v>0.1987241245168245</v>
      </c>
    </row>
    <row r="224" spans="1:25" x14ac:dyDescent="0.7">
      <c r="A224" t="s">
        <v>56</v>
      </c>
      <c r="B224" s="3">
        <v>0.65015046296296297</v>
      </c>
      <c r="C224" t="s">
        <v>57</v>
      </c>
      <c r="D224" s="2">
        <v>37.632944999999999</v>
      </c>
      <c r="E224" t="s">
        <v>58</v>
      </c>
      <c r="F224" s="2">
        <v>141.01326499999999</v>
      </c>
      <c r="G224" t="s">
        <v>59</v>
      </c>
      <c r="H224" s="4">
        <v>0</v>
      </c>
      <c r="I224" s="5">
        <v>72.3</v>
      </c>
      <c r="J224">
        <v>170220</v>
      </c>
      <c r="M224" t="s">
        <v>57</v>
      </c>
      <c r="N224" t="s">
        <v>61</v>
      </c>
      <c r="O224" s="2">
        <v>-2.7777775812865002E-7</v>
      </c>
      <c r="P224" s="2">
        <v>-4.6527777612936916E-6</v>
      </c>
      <c r="Q224" s="2">
        <v>-9.5041647553443909E-2</v>
      </c>
      <c r="R224" s="2">
        <v>-0.41427693655817155</v>
      </c>
      <c r="S224" s="2">
        <v>0.42503916840551237</v>
      </c>
      <c r="T224" s="5">
        <f t="shared" ref="T224:V224" si="444">IFERROR(MROUND(Q224,0.2),-MROUND(ABS(Q224),0.2))</f>
        <v>0</v>
      </c>
      <c r="U224" s="5">
        <f t="shared" si="444"/>
        <v>-0.4</v>
      </c>
      <c r="V224" s="5">
        <f t="shared" si="444"/>
        <v>0.4</v>
      </c>
      <c r="W224" s="2">
        <f t="shared" ref="W224:Y224" si="445">Q224^2</f>
        <v>9.0329147696730505E-3</v>
      </c>
      <c r="X224" s="2">
        <f t="shared" si="445"/>
        <v>0.17162538016402329</v>
      </c>
      <c r="Y224" s="2">
        <f t="shared" si="445"/>
        <v>0.1806582946788495</v>
      </c>
    </row>
    <row r="225" spans="1:25" x14ac:dyDescent="0.7">
      <c r="A225" t="s">
        <v>56</v>
      </c>
      <c r="B225" s="3">
        <v>0.65016203703703701</v>
      </c>
      <c r="C225" t="s">
        <v>57</v>
      </c>
      <c r="D225" s="2">
        <v>37.632944999999999</v>
      </c>
      <c r="E225" t="s">
        <v>58</v>
      </c>
      <c r="F225" s="2">
        <v>141.01326333333333</v>
      </c>
      <c r="G225" t="s">
        <v>59</v>
      </c>
      <c r="H225" s="4">
        <v>0</v>
      </c>
      <c r="I225" s="5">
        <v>72.3</v>
      </c>
      <c r="J225">
        <v>170220</v>
      </c>
      <c r="M225" t="s">
        <v>57</v>
      </c>
      <c r="N225" t="s">
        <v>65</v>
      </c>
      <c r="O225" s="2">
        <v>-2.7777775812865002E-7</v>
      </c>
      <c r="P225" s="2">
        <v>-6.3194444237524294E-6</v>
      </c>
      <c r="Q225" s="2">
        <v>-9.5041647553443909E-2</v>
      </c>
      <c r="R225" s="2">
        <v>-0.56227396882598613</v>
      </c>
      <c r="S225" s="2">
        <v>0.56227396882598613</v>
      </c>
      <c r="T225" s="5">
        <f t="shared" ref="T225:V225" si="446">IFERROR(MROUND(Q225,0.2),-MROUND(ABS(Q225),0.2))</f>
        <v>0</v>
      </c>
      <c r="U225" s="5">
        <f t="shared" si="446"/>
        <v>-0.60000000000000009</v>
      </c>
      <c r="V225" s="5">
        <f t="shared" si="446"/>
        <v>0.60000000000000009</v>
      </c>
      <c r="W225" s="2">
        <f t="shared" ref="W225:Y225" si="447">Q225^2</f>
        <v>9.0329147696730505E-3</v>
      </c>
      <c r="X225" s="2">
        <f t="shared" si="447"/>
        <v>0.31615201601932602</v>
      </c>
      <c r="Y225" s="2">
        <f t="shared" si="447"/>
        <v>0.31615201601932602</v>
      </c>
    </row>
    <row r="226" spans="1:25" x14ac:dyDescent="0.7">
      <c r="A226" t="s">
        <v>56</v>
      </c>
      <c r="B226" s="3">
        <v>0.65017361111111105</v>
      </c>
      <c r="C226" t="s">
        <v>57</v>
      </c>
      <c r="D226" s="2">
        <v>37.632948333333339</v>
      </c>
      <c r="E226" t="s">
        <v>58</v>
      </c>
      <c r="F226" s="2">
        <v>141.01326333333333</v>
      </c>
      <c r="G226" t="s">
        <v>59</v>
      </c>
      <c r="H226" s="4">
        <v>0</v>
      </c>
      <c r="I226" s="5">
        <v>72.3</v>
      </c>
      <c r="J226">
        <v>170220</v>
      </c>
      <c r="M226" t="s">
        <v>57</v>
      </c>
      <c r="N226" t="s">
        <v>69</v>
      </c>
      <c r="O226" s="2">
        <v>3.0555555809996804E-6</v>
      </c>
      <c r="P226" s="2">
        <v>-6.3194444237524294E-6</v>
      </c>
      <c r="Q226" s="2">
        <v>0.34267753328923733</v>
      </c>
      <c r="R226" s="2">
        <v>-0.56227396882598613</v>
      </c>
      <c r="S226" s="2">
        <v>0.65157270798306222</v>
      </c>
      <c r="T226" s="5">
        <f t="shared" ref="T226:V226" si="448">IFERROR(MROUND(Q226,0.2),-MROUND(ABS(Q226),0.2))</f>
        <v>0.4</v>
      </c>
      <c r="U226" s="5">
        <f t="shared" si="448"/>
        <v>-0.60000000000000009</v>
      </c>
      <c r="V226" s="5">
        <f t="shared" si="448"/>
        <v>0.60000000000000009</v>
      </c>
      <c r="W226" s="2">
        <f t="shared" ref="W226:Y226" si="449">Q226^2</f>
        <v>0.11742789182119637</v>
      </c>
      <c r="X226" s="2">
        <f t="shared" si="449"/>
        <v>0.31615201601932602</v>
      </c>
      <c r="Y226" s="2">
        <f t="shared" si="449"/>
        <v>0.42454699378838084</v>
      </c>
    </row>
    <row r="227" spans="1:25" x14ac:dyDescent="0.7">
      <c r="A227" t="s">
        <v>56</v>
      </c>
      <c r="B227" s="3">
        <v>0.6501851851851852</v>
      </c>
      <c r="C227" t="s">
        <v>57</v>
      </c>
      <c r="D227" s="2">
        <v>37.632950000000001</v>
      </c>
      <c r="E227" t="s">
        <v>58</v>
      </c>
      <c r="F227" s="2">
        <v>141.01326333333333</v>
      </c>
      <c r="G227" t="s">
        <v>59</v>
      </c>
      <c r="H227" s="4">
        <v>0.37040000000000006</v>
      </c>
      <c r="I227" s="5">
        <v>72.3</v>
      </c>
      <c r="J227">
        <v>170220</v>
      </c>
      <c r="M227" t="s">
        <v>57</v>
      </c>
      <c r="N227" t="s">
        <v>61</v>
      </c>
      <c r="O227" s="2">
        <v>4.7222222434584182E-6</v>
      </c>
      <c r="P227" s="2">
        <v>-6.3194444237524294E-6</v>
      </c>
      <c r="Q227" s="2">
        <v>0.52916949765318511</v>
      </c>
      <c r="R227" s="2">
        <v>-0.56227396882598613</v>
      </c>
      <c r="S227" s="2">
        <v>0.76625025831750149</v>
      </c>
      <c r="T227" s="5">
        <f t="shared" ref="T227:V227" si="450">IFERROR(MROUND(Q227,0.2),-MROUND(ABS(Q227),0.2))</f>
        <v>0.60000000000000009</v>
      </c>
      <c r="U227" s="5">
        <f t="shared" si="450"/>
        <v>-0.60000000000000009</v>
      </c>
      <c r="V227" s="5">
        <f t="shared" si="450"/>
        <v>0.8</v>
      </c>
      <c r="W227" s="2">
        <f t="shared" ref="W227:Y227" si="451">Q227^2</f>
        <v>0.2800203572465243</v>
      </c>
      <c r="X227" s="2">
        <f t="shared" si="451"/>
        <v>0.31615201601932602</v>
      </c>
      <c r="Y227" s="2">
        <f t="shared" si="451"/>
        <v>0.58713945837163772</v>
      </c>
    </row>
    <row r="228" spans="1:25" x14ac:dyDescent="0.7">
      <c r="A228" t="s">
        <v>56</v>
      </c>
      <c r="B228" s="3">
        <v>0.65019675925925924</v>
      </c>
      <c r="C228" t="s">
        <v>57</v>
      </c>
      <c r="D228" s="2">
        <v>37.632950000000001</v>
      </c>
      <c r="E228" t="s">
        <v>58</v>
      </c>
      <c r="F228" s="2">
        <v>141.01326499999999</v>
      </c>
      <c r="G228" t="s">
        <v>59</v>
      </c>
      <c r="H228" s="4">
        <v>0</v>
      </c>
      <c r="I228" s="5">
        <v>72.3</v>
      </c>
      <c r="J228">
        <v>170220</v>
      </c>
      <c r="M228" t="s">
        <v>57</v>
      </c>
      <c r="N228" t="s">
        <v>63</v>
      </c>
      <c r="O228" s="2">
        <v>4.7222222434584182E-6</v>
      </c>
      <c r="P228" s="2">
        <v>-4.6527777612936916E-6</v>
      </c>
      <c r="Q228" s="2">
        <v>0.52916949765318511</v>
      </c>
      <c r="R228" s="2">
        <v>-0.41427693655817155</v>
      </c>
      <c r="S228" s="2">
        <v>0.67204593463009132</v>
      </c>
      <c r="T228" s="5">
        <f t="shared" ref="T228:V228" si="452">IFERROR(MROUND(Q228,0.2),-MROUND(ABS(Q228),0.2))</f>
        <v>0.60000000000000009</v>
      </c>
      <c r="U228" s="5">
        <f t="shared" si="452"/>
        <v>-0.4</v>
      </c>
      <c r="V228" s="5">
        <f t="shared" si="452"/>
        <v>0.60000000000000009</v>
      </c>
      <c r="W228" s="2">
        <f t="shared" ref="W228:Y228" si="453">Q228^2</f>
        <v>0.2800203572465243</v>
      </c>
      <c r="X228" s="2">
        <f t="shared" si="453"/>
        <v>0.17162538016402329</v>
      </c>
      <c r="Y228" s="2">
        <f t="shared" si="453"/>
        <v>0.451645738252833</v>
      </c>
    </row>
    <row r="229" spans="1:25" x14ac:dyDescent="0.7">
      <c r="A229" t="s">
        <v>56</v>
      </c>
      <c r="B229" s="3">
        <v>0.65023148148148147</v>
      </c>
      <c r="C229" t="s">
        <v>57</v>
      </c>
      <c r="D229" s="2">
        <v>37.632948333333339</v>
      </c>
      <c r="E229" t="s">
        <v>58</v>
      </c>
      <c r="F229" s="2">
        <v>141.01327166666667</v>
      </c>
      <c r="G229" t="s">
        <v>59</v>
      </c>
      <c r="H229" s="4">
        <v>0</v>
      </c>
      <c r="I229" s="5">
        <v>72.3</v>
      </c>
      <c r="J229">
        <v>170220</v>
      </c>
      <c r="M229" t="s">
        <v>57</v>
      </c>
      <c r="N229" t="s">
        <v>89</v>
      </c>
      <c r="O229" s="2">
        <v>3.0555555809996804E-6</v>
      </c>
      <c r="P229" s="2">
        <v>2.0138889169629692E-6</v>
      </c>
      <c r="Q229" s="2">
        <v>0.34267753328923733</v>
      </c>
      <c r="R229" s="2">
        <v>0.19008329510688782</v>
      </c>
      <c r="S229" s="2">
        <v>0.3918667507223268</v>
      </c>
      <c r="T229" s="5">
        <f t="shared" ref="T229:V229" si="454">IFERROR(MROUND(Q229,0.2),-MROUND(ABS(Q229),0.2))</f>
        <v>0.4</v>
      </c>
      <c r="U229" s="5">
        <f t="shared" si="454"/>
        <v>0.2</v>
      </c>
      <c r="V229" s="5">
        <f t="shared" si="454"/>
        <v>0.4</v>
      </c>
      <c r="W229" s="2">
        <f t="shared" ref="W229:Y229" si="455">Q229^2</f>
        <v>0.11742789182119637</v>
      </c>
      <c r="X229" s="2">
        <f t="shared" si="455"/>
        <v>3.6131659078692202E-2</v>
      </c>
      <c r="Y229" s="2">
        <f t="shared" si="455"/>
        <v>0.1535595503216742</v>
      </c>
    </row>
    <row r="230" spans="1:25" x14ac:dyDescent="0.7">
      <c r="A230" t="s">
        <v>56</v>
      </c>
      <c r="B230" s="3">
        <v>0.6502430555555555</v>
      </c>
      <c r="C230" t="s">
        <v>57</v>
      </c>
      <c r="D230" s="2">
        <v>37.632944999999999</v>
      </c>
      <c r="E230" t="s">
        <v>58</v>
      </c>
      <c r="F230" s="2">
        <v>141.01327166666667</v>
      </c>
      <c r="G230" t="s">
        <v>59</v>
      </c>
      <c r="H230" s="4">
        <v>0</v>
      </c>
      <c r="I230" s="5">
        <v>72.3</v>
      </c>
      <c r="J230">
        <v>170220</v>
      </c>
      <c r="M230" t="s">
        <v>57</v>
      </c>
      <c r="N230" t="s">
        <v>70</v>
      </c>
      <c r="O230" s="2">
        <v>-2.7777775812865002E-7</v>
      </c>
      <c r="P230" s="2">
        <v>2.0138889169629692E-6</v>
      </c>
      <c r="Q230" s="2">
        <v>-9.5041647553443909E-2</v>
      </c>
      <c r="R230" s="2">
        <v>0.19008329510688782</v>
      </c>
      <c r="S230" s="2">
        <v>0.21251958491087164</v>
      </c>
      <c r="T230" s="5">
        <f t="shared" ref="T230:V230" si="456">IFERROR(MROUND(Q230,0.2),-MROUND(ABS(Q230),0.2))</f>
        <v>0</v>
      </c>
      <c r="U230" s="5">
        <f t="shared" si="456"/>
        <v>0.2</v>
      </c>
      <c r="V230" s="5">
        <f t="shared" si="456"/>
        <v>0.2</v>
      </c>
      <c r="W230" s="2">
        <f t="shared" ref="W230:Y230" si="457">Q230^2</f>
        <v>9.0329147696730505E-3</v>
      </c>
      <c r="X230" s="2">
        <f t="shared" si="457"/>
        <v>3.6131659078692202E-2</v>
      </c>
      <c r="Y230" s="2">
        <f t="shared" si="457"/>
        <v>4.5164573970689181E-2</v>
      </c>
    </row>
    <row r="231" spans="1:25" x14ac:dyDescent="0.7">
      <c r="A231" t="s">
        <v>56</v>
      </c>
      <c r="B231" s="3">
        <v>0.65025462962962965</v>
      </c>
      <c r="C231" t="s">
        <v>57</v>
      </c>
      <c r="D231" s="2">
        <v>37.632944999999999</v>
      </c>
      <c r="E231" t="s">
        <v>58</v>
      </c>
      <c r="F231" s="2">
        <v>141.01327333333333</v>
      </c>
      <c r="G231" t="s">
        <v>59</v>
      </c>
      <c r="H231" s="4">
        <v>0</v>
      </c>
      <c r="I231" s="5">
        <v>72.3</v>
      </c>
      <c r="J231">
        <v>170220</v>
      </c>
      <c r="M231" t="s">
        <v>57</v>
      </c>
      <c r="N231" t="s">
        <v>66</v>
      </c>
      <c r="O231" s="2">
        <v>-2.7777775812865002E-7</v>
      </c>
      <c r="P231" s="2">
        <v>3.6805555794217071E-6</v>
      </c>
      <c r="Q231" s="2">
        <v>-9.5041647553443909E-2</v>
      </c>
      <c r="R231" s="2">
        <v>0.32923392455099521</v>
      </c>
      <c r="S231" s="2">
        <v>0.34267753328923733</v>
      </c>
      <c r="T231" s="5">
        <f t="shared" ref="T231:V231" si="458">IFERROR(MROUND(Q231,0.2),-MROUND(ABS(Q231),0.2))</f>
        <v>0</v>
      </c>
      <c r="U231" s="5">
        <f t="shared" si="458"/>
        <v>0.4</v>
      </c>
      <c r="V231" s="5">
        <f t="shared" si="458"/>
        <v>0.4</v>
      </c>
      <c r="W231" s="2">
        <f t="shared" ref="W231:Y231" si="459">Q231^2</f>
        <v>9.0329147696730505E-3</v>
      </c>
      <c r="X231" s="2">
        <f t="shared" si="459"/>
        <v>0.10839497707525041</v>
      </c>
      <c r="Y231" s="2">
        <f t="shared" si="459"/>
        <v>0.11742789182119637</v>
      </c>
    </row>
    <row r="232" spans="1:25" x14ac:dyDescent="0.7">
      <c r="A232" t="s">
        <v>56</v>
      </c>
      <c r="B232" s="3">
        <v>0.65026620370370369</v>
      </c>
      <c r="C232" t="s">
        <v>57</v>
      </c>
      <c r="D232" s="2">
        <v>37.63294333333333</v>
      </c>
      <c r="E232" t="s">
        <v>58</v>
      </c>
      <c r="F232" s="2">
        <v>141.01327499999999</v>
      </c>
      <c r="G232" t="s">
        <v>59</v>
      </c>
      <c r="H232" s="4">
        <v>0</v>
      </c>
      <c r="I232" s="5">
        <v>72.3</v>
      </c>
      <c r="J232">
        <v>170220</v>
      </c>
      <c r="M232" t="s">
        <v>57</v>
      </c>
      <c r="N232" t="s">
        <v>87</v>
      </c>
      <c r="O232" s="2">
        <v>-1.9444444276928152E-6</v>
      </c>
      <c r="P232" s="2">
        <v>5.3472222418804449E-6</v>
      </c>
      <c r="Q232" s="2">
        <v>-0.21251958491087164</v>
      </c>
      <c r="R232" s="2">
        <v>0.47520823776721954</v>
      </c>
      <c r="S232" s="2">
        <v>0.5205645423724552</v>
      </c>
      <c r="T232" s="5">
        <f t="shared" ref="T232:V232" si="460">IFERROR(MROUND(Q232,0.2),-MROUND(ABS(Q232),0.2))</f>
        <v>-0.2</v>
      </c>
      <c r="U232" s="5">
        <f t="shared" si="460"/>
        <v>0.4</v>
      </c>
      <c r="V232" s="5">
        <f t="shared" si="460"/>
        <v>0.60000000000000009</v>
      </c>
      <c r="W232" s="2">
        <f t="shared" ref="W232:Y232" si="461">Q232^2</f>
        <v>4.5164573970689181E-2</v>
      </c>
      <c r="X232" s="2">
        <f t="shared" si="461"/>
        <v>0.22582286924182626</v>
      </c>
      <c r="Y232" s="2">
        <f t="shared" si="461"/>
        <v>0.27098744277544368</v>
      </c>
    </row>
    <row r="233" spans="1:25" x14ac:dyDescent="0.7">
      <c r="A233" t="s">
        <v>56</v>
      </c>
      <c r="B233" s="3">
        <v>0.65027777777777784</v>
      </c>
      <c r="C233" t="s">
        <v>57</v>
      </c>
      <c r="D233" s="2">
        <v>37.632944999999999</v>
      </c>
      <c r="E233" t="s">
        <v>58</v>
      </c>
      <c r="F233" s="2">
        <v>141.01327499999999</v>
      </c>
      <c r="G233" t="s">
        <v>59</v>
      </c>
      <c r="H233" s="4">
        <v>0</v>
      </c>
      <c r="I233" s="5">
        <v>72.3</v>
      </c>
      <c r="J233">
        <v>170220</v>
      </c>
      <c r="M233" t="s">
        <v>57</v>
      </c>
      <c r="N233" t="s">
        <v>91</v>
      </c>
      <c r="O233" s="2">
        <v>-2.7777775812865002E-7</v>
      </c>
      <c r="P233" s="2">
        <v>5.3472222418804449E-6</v>
      </c>
      <c r="Q233" s="2">
        <v>-9.5041647553443909E-2</v>
      </c>
      <c r="R233" s="2">
        <v>0.47520823776721954</v>
      </c>
      <c r="S233" s="2">
        <v>0.47520823776721954</v>
      </c>
      <c r="T233" s="5">
        <f t="shared" ref="T233:V233" si="462">IFERROR(MROUND(Q233,0.2),-MROUND(ABS(Q233),0.2))</f>
        <v>0</v>
      </c>
      <c r="U233" s="5">
        <f t="shared" si="462"/>
        <v>0.4</v>
      </c>
      <c r="V233" s="5">
        <f t="shared" si="462"/>
        <v>0.4</v>
      </c>
      <c r="W233" s="2">
        <f t="shared" ref="W233:Y233" si="463">Q233^2</f>
        <v>9.0329147696730505E-3</v>
      </c>
      <c r="X233" s="2">
        <f t="shared" si="463"/>
        <v>0.22582286924182626</v>
      </c>
      <c r="Y233" s="2">
        <f t="shared" si="463"/>
        <v>0.22582286924182626</v>
      </c>
    </row>
    <row r="234" spans="1:25" x14ac:dyDescent="0.7">
      <c r="A234" t="s">
        <v>56</v>
      </c>
      <c r="B234" s="3">
        <v>0.65028935185185188</v>
      </c>
      <c r="C234" t="s">
        <v>57</v>
      </c>
      <c r="D234" s="2">
        <v>37.632944999999999</v>
      </c>
      <c r="E234" t="s">
        <v>58</v>
      </c>
      <c r="F234" s="2">
        <v>141.01327499999999</v>
      </c>
      <c r="G234" t="s">
        <v>59</v>
      </c>
      <c r="H234" s="4">
        <v>0</v>
      </c>
      <c r="I234" s="5">
        <v>72.3</v>
      </c>
      <c r="J234">
        <v>170220</v>
      </c>
      <c r="M234" t="s">
        <v>57</v>
      </c>
      <c r="N234" t="s">
        <v>90</v>
      </c>
      <c r="O234" s="2">
        <v>-2.7777775812865002E-7</v>
      </c>
      <c r="P234" s="2">
        <v>5.3472222418804449E-6</v>
      </c>
      <c r="Q234" s="2">
        <v>-9.5041647553443909E-2</v>
      </c>
      <c r="R234" s="2">
        <v>0.47520823776721954</v>
      </c>
      <c r="S234" s="2">
        <v>0.47520823776721954</v>
      </c>
      <c r="T234" s="5">
        <f t="shared" ref="T234:V234" si="464">IFERROR(MROUND(Q234,0.2),-MROUND(ABS(Q234),0.2))</f>
        <v>0</v>
      </c>
      <c r="U234" s="5">
        <f t="shared" si="464"/>
        <v>0.4</v>
      </c>
      <c r="V234" s="5">
        <f t="shared" si="464"/>
        <v>0.4</v>
      </c>
      <c r="W234" s="2">
        <f t="shared" ref="W234:Y234" si="465">Q234^2</f>
        <v>9.0329147696730505E-3</v>
      </c>
      <c r="X234" s="2">
        <f t="shared" si="465"/>
        <v>0.22582286924182626</v>
      </c>
      <c r="Y234" s="2">
        <f t="shared" si="465"/>
        <v>0.22582286924182626</v>
      </c>
    </row>
    <row r="235" spans="1:25" x14ac:dyDescent="0.7">
      <c r="A235" t="s">
        <v>56</v>
      </c>
      <c r="B235" s="3">
        <v>0.65030092592592592</v>
      </c>
      <c r="C235" t="s">
        <v>57</v>
      </c>
      <c r="D235" s="2">
        <v>37.63294333333333</v>
      </c>
      <c r="E235" t="s">
        <v>58</v>
      </c>
      <c r="F235" s="2">
        <v>141.01327333333333</v>
      </c>
      <c r="G235" t="s">
        <v>59</v>
      </c>
      <c r="H235" s="4">
        <v>0</v>
      </c>
      <c r="I235" s="5">
        <v>72.3</v>
      </c>
      <c r="J235">
        <v>170220</v>
      </c>
      <c r="M235" t="s">
        <v>57</v>
      </c>
      <c r="N235" t="s">
        <v>69</v>
      </c>
      <c r="O235" s="2">
        <v>-1.9444444276928152E-6</v>
      </c>
      <c r="P235" s="2">
        <v>3.6805555794217071E-6</v>
      </c>
      <c r="Q235" s="2">
        <v>-0.21251958491087164</v>
      </c>
      <c r="R235" s="2">
        <v>0.32923392455099521</v>
      </c>
      <c r="S235" s="2">
        <v>0.3918667507223268</v>
      </c>
      <c r="T235" s="5">
        <f t="shared" ref="T235:V235" si="466">IFERROR(MROUND(Q235,0.2),-MROUND(ABS(Q235),0.2))</f>
        <v>-0.2</v>
      </c>
      <c r="U235" s="5">
        <f t="shared" si="466"/>
        <v>0.4</v>
      </c>
      <c r="V235" s="5">
        <f t="shared" si="466"/>
        <v>0.4</v>
      </c>
      <c r="W235" s="2">
        <f t="shared" ref="W235:Y235" si="467">Q235^2</f>
        <v>4.5164573970689181E-2</v>
      </c>
      <c r="X235" s="2">
        <f t="shared" si="467"/>
        <v>0.10839497707525041</v>
      </c>
      <c r="Y235" s="2">
        <f t="shared" si="467"/>
        <v>0.1535595503216742</v>
      </c>
    </row>
    <row r="236" spans="1:25" x14ac:dyDescent="0.7">
      <c r="A236" t="s">
        <v>56</v>
      </c>
      <c r="B236" s="3">
        <v>0.65031249999999996</v>
      </c>
      <c r="C236" t="s">
        <v>57</v>
      </c>
      <c r="D236" s="2">
        <v>37.63294333333333</v>
      </c>
      <c r="E236" t="s">
        <v>58</v>
      </c>
      <c r="F236" s="2">
        <v>141.01327166666667</v>
      </c>
      <c r="G236" t="s">
        <v>59</v>
      </c>
      <c r="H236" s="4">
        <v>0.37040000000000006</v>
      </c>
      <c r="I236" s="5">
        <v>72.3</v>
      </c>
      <c r="J236">
        <v>170220</v>
      </c>
      <c r="M236" t="s">
        <v>57</v>
      </c>
      <c r="N236" t="s">
        <v>87</v>
      </c>
      <c r="O236" s="2">
        <v>-1.9444444276928152E-6</v>
      </c>
      <c r="P236" s="2">
        <v>2.0138889169629692E-6</v>
      </c>
      <c r="Q236" s="2">
        <v>-0.21251958491087164</v>
      </c>
      <c r="R236" s="2">
        <v>0.19008329510688782</v>
      </c>
      <c r="S236" s="2">
        <v>0.28512494266033173</v>
      </c>
      <c r="T236" s="5">
        <f t="shared" ref="T236:V236" si="468">IFERROR(MROUND(Q236,0.2),-MROUND(ABS(Q236),0.2))</f>
        <v>-0.2</v>
      </c>
      <c r="U236" s="5">
        <f t="shared" si="468"/>
        <v>0.2</v>
      </c>
      <c r="V236" s="5">
        <f t="shared" si="468"/>
        <v>0.2</v>
      </c>
      <c r="W236" s="2">
        <f t="shared" ref="W236:Y236" si="469">Q236^2</f>
        <v>4.5164573970689181E-2</v>
      </c>
      <c r="X236" s="2">
        <f t="shared" si="469"/>
        <v>3.6131659078692202E-2</v>
      </c>
      <c r="Y236" s="2">
        <f t="shared" si="469"/>
        <v>8.1296232927057455E-2</v>
      </c>
    </row>
    <row r="237" spans="1:25" x14ac:dyDescent="0.7">
      <c r="A237" t="s">
        <v>56</v>
      </c>
      <c r="B237" s="3">
        <v>0.65032407407407411</v>
      </c>
      <c r="C237" t="s">
        <v>57</v>
      </c>
      <c r="D237" s="2">
        <v>37.63294333333333</v>
      </c>
      <c r="E237" t="s">
        <v>58</v>
      </c>
      <c r="F237" s="2">
        <v>141.01327166666667</v>
      </c>
      <c r="G237" t="s">
        <v>59</v>
      </c>
      <c r="H237" s="4">
        <v>0</v>
      </c>
      <c r="I237" s="5">
        <v>72.3</v>
      </c>
      <c r="J237">
        <v>170220</v>
      </c>
      <c r="M237" t="s">
        <v>57</v>
      </c>
      <c r="N237" t="s">
        <v>61</v>
      </c>
      <c r="O237" s="2">
        <v>-1.9444444276928152E-6</v>
      </c>
      <c r="P237" s="2">
        <v>2.0138889169629692E-6</v>
      </c>
      <c r="Q237" s="2">
        <v>-0.21251958491087164</v>
      </c>
      <c r="R237" s="2">
        <v>0.19008329510688782</v>
      </c>
      <c r="S237" s="2">
        <v>0.28512494266033173</v>
      </c>
      <c r="T237" s="5">
        <f t="shared" ref="T237:V237" si="470">IFERROR(MROUND(Q237,0.2),-MROUND(ABS(Q237),0.2))</f>
        <v>-0.2</v>
      </c>
      <c r="U237" s="5">
        <f t="shared" si="470"/>
        <v>0.2</v>
      </c>
      <c r="V237" s="5">
        <f t="shared" si="470"/>
        <v>0.2</v>
      </c>
      <c r="W237" s="2">
        <f t="shared" ref="W237:Y237" si="471">Q237^2</f>
        <v>4.5164573970689181E-2</v>
      </c>
      <c r="X237" s="2">
        <f t="shared" si="471"/>
        <v>3.6131659078692202E-2</v>
      </c>
      <c r="Y237" s="2">
        <f t="shared" si="471"/>
        <v>8.1296232927057455E-2</v>
      </c>
    </row>
    <row r="238" spans="1:25" x14ac:dyDescent="0.7">
      <c r="A238" t="s">
        <v>56</v>
      </c>
      <c r="B238" s="3">
        <v>0.65033564814814815</v>
      </c>
      <c r="C238" t="s">
        <v>57</v>
      </c>
      <c r="D238" s="2">
        <v>37.63294333333333</v>
      </c>
      <c r="E238" t="s">
        <v>58</v>
      </c>
      <c r="F238" s="2">
        <v>141.01327166666667</v>
      </c>
      <c r="G238" t="s">
        <v>59</v>
      </c>
      <c r="H238" s="4">
        <v>0</v>
      </c>
      <c r="I238" s="5">
        <v>72.3</v>
      </c>
      <c r="J238">
        <v>170220</v>
      </c>
      <c r="M238" t="s">
        <v>57</v>
      </c>
      <c r="N238" t="s">
        <v>64</v>
      </c>
      <c r="O238" s="2">
        <v>-1.9444444276928152E-6</v>
      </c>
      <c r="P238" s="2">
        <v>2.0138889169629692E-6</v>
      </c>
      <c r="Q238" s="2">
        <v>-0.21251958491087164</v>
      </c>
      <c r="R238" s="2">
        <v>0.19008329510688782</v>
      </c>
      <c r="S238" s="2">
        <v>0.28512494266033173</v>
      </c>
      <c r="T238" s="5">
        <f t="shared" ref="T238:V238" si="472">IFERROR(MROUND(Q238,0.2),-MROUND(ABS(Q238),0.2))</f>
        <v>-0.2</v>
      </c>
      <c r="U238" s="5">
        <f t="shared" si="472"/>
        <v>0.2</v>
      </c>
      <c r="V238" s="5">
        <f t="shared" si="472"/>
        <v>0.2</v>
      </c>
      <c r="W238" s="2">
        <f t="shared" ref="W238:Y238" si="473">Q238^2</f>
        <v>4.5164573970689181E-2</v>
      </c>
      <c r="X238" s="2">
        <f t="shared" si="473"/>
        <v>3.6131659078692202E-2</v>
      </c>
      <c r="Y238" s="2">
        <f t="shared" si="473"/>
        <v>8.1296232927057455E-2</v>
      </c>
    </row>
    <row r="239" spans="1:25" x14ac:dyDescent="0.7">
      <c r="A239" t="s">
        <v>56</v>
      </c>
      <c r="B239" s="3">
        <v>0.65034722222222219</v>
      </c>
      <c r="C239" t="s">
        <v>57</v>
      </c>
      <c r="D239" s="2">
        <v>37.63294333333333</v>
      </c>
      <c r="E239" t="s">
        <v>58</v>
      </c>
      <c r="F239" s="2">
        <v>141.01327000000001</v>
      </c>
      <c r="G239" t="s">
        <v>59</v>
      </c>
      <c r="H239" s="4">
        <v>0</v>
      </c>
      <c r="I239" s="5">
        <v>72.3</v>
      </c>
      <c r="J239">
        <v>170220</v>
      </c>
      <c r="M239" t="s">
        <v>57</v>
      </c>
      <c r="N239" t="s">
        <v>70</v>
      </c>
      <c r="O239" s="2">
        <v>-1.9444444276928152E-6</v>
      </c>
      <c r="P239" s="2">
        <v>3.4722225450423139E-7</v>
      </c>
      <c r="Q239" s="2">
        <v>-0.21251958491087164</v>
      </c>
      <c r="R239" s="2">
        <v>0</v>
      </c>
      <c r="S239" s="2">
        <v>0.21251958491087164</v>
      </c>
      <c r="T239" s="5">
        <f t="shared" ref="T239:V239" si="474">IFERROR(MROUND(Q239,0.2),-MROUND(ABS(Q239),0.2))</f>
        <v>-0.2</v>
      </c>
      <c r="U239" s="5">
        <f t="shared" si="474"/>
        <v>0</v>
      </c>
      <c r="V239" s="5">
        <f t="shared" si="474"/>
        <v>0.2</v>
      </c>
      <c r="W239" s="2">
        <f t="shared" ref="W239:Y239" si="475">Q239^2</f>
        <v>4.5164573970689181E-2</v>
      </c>
      <c r="X239" s="2">
        <f t="shared" si="475"/>
        <v>0</v>
      </c>
      <c r="Y239" s="2">
        <f t="shared" si="475"/>
        <v>4.5164573970689181E-2</v>
      </c>
    </row>
    <row r="240" spans="1:25" x14ac:dyDescent="0.7">
      <c r="A240" t="s">
        <v>56</v>
      </c>
      <c r="B240" s="3">
        <v>0.65037037037037038</v>
      </c>
      <c r="C240" t="s">
        <v>57</v>
      </c>
      <c r="D240" s="2">
        <v>37.632944999999999</v>
      </c>
      <c r="E240" t="s">
        <v>58</v>
      </c>
      <c r="F240" s="2">
        <v>141.01327000000001</v>
      </c>
      <c r="G240" t="s">
        <v>59</v>
      </c>
      <c r="H240" s="4">
        <v>0.37040000000000006</v>
      </c>
      <c r="I240" s="5">
        <v>72.3</v>
      </c>
      <c r="J240">
        <v>170220</v>
      </c>
      <c r="M240" t="s">
        <v>57</v>
      </c>
      <c r="N240" t="s">
        <v>69</v>
      </c>
      <c r="O240" s="2">
        <v>-2.7777775812865002E-7</v>
      </c>
      <c r="P240" s="2">
        <v>3.4722225450423139E-7</v>
      </c>
      <c r="Q240" s="2">
        <v>-9.5041647553443909E-2</v>
      </c>
      <c r="R240" s="2">
        <v>0</v>
      </c>
      <c r="S240" s="2">
        <v>9.5041647553443909E-2</v>
      </c>
      <c r="T240" s="5">
        <f t="shared" ref="T240:V240" si="476">IFERROR(MROUND(Q240,0.2),-MROUND(ABS(Q240),0.2))</f>
        <v>0</v>
      </c>
      <c r="U240" s="5">
        <f t="shared" si="476"/>
        <v>0</v>
      </c>
      <c r="V240" s="5">
        <f t="shared" si="476"/>
        <v>0</v>
      </c>
      <c r="W240" s="2">
        <f t="shared" ref="W240:Y240" si="477">Q240^2</f>
        <v>9.0329147696730505E-3</v>
      </c>
      <c r="X240" s="2">
        <f t="shared" si="477"/>
        <v>0</v>
      </c>
      <c r="Y240" s="2">
        <f t="shared" si="477"/>
        <v>9.0329147696730505E-3</v>
      </c>
    </row>
    <row r="241" spans="1:25" x14ac:dyDescent="0.7">
      <c r="A241" t="s">
        <v>56</v>
      </c>
      <c r="B241" s="3">
        <v>0.65111111111111108</v>
      </c>
      <c r="C241" t="s">
        <v>57</v>
      </c>
      <c r="D241" s="2">
        <v>37.632973333333332</v>
      </c>
      <c r="E241" t="s">
        <v>58</v>
      </c>
      <c r="F241" s="2">
        <v>141.01333333333332</v>
      </c>
      <c r="G241" t="s">
        <v>59</v>
      </c>
      <c r="H241" s="4">
        <v>0.74080000000000013</v>
      </c>
      <c r="I241" s="5">
        <v>74</v>
      </c>
      <c r="J241">
        <v>170220</v>
      </c>
      <c r="M241" t="s">
        <v>57</v>
      </c>
      <c r="N241" t="s">
        <v>61</v>
      </c>
      <c r="O241" s="2">
        <v>5.1754385879121401E-6</v>
      </c>
      <c r="P241" s="2">
        <v>3.9473684125823638E-6</v>
      </c>
      <c r="Q241" s="2">
        <v>0.57811577200345599</v>
      </c>
      <c r="R241" s="2">
        <v>0.34267753328923733</v>
      </c>
      <c r="S241" s="2">
        <v>0.67204593463009132</v>
      </c>
      <c r="T241" s="5">
        <f t="shared" ref="T241:V241" si="478">IFERROR(MROUND(Q241,0.2),-MROUND(ABS(Q241),0.2))</f>
        <v>0.60000000000000009</v>
      </c>
      <c r="U241" s="5">
        <f t="shared" si="478"/>
        <v>0.4</v>
      </c>
      <c r="V241" s="5">
        <f t="shared" si="478"/>
        <v>0.60000000000000009</v>
      </c>
      <c r="W241" s="2">
        <f t="shared" ref="W241:Y241" si="479">Q241^2</f>
        <v>0.33421784583915193</v>
      </c>
      <c r="X241" s="2">
        <f t="shared" si="479"/>
        <v>0.11742789182119637</v>
      </c>
      <c r="Y241" s="2">
        <f t="shared" si="479"/>
        <v>0.451645738252833</v>
      </c>
    </row>
    <row r="242" spans="1:25" x14ac:dyDescent="0.7">
      <c r="A242" t="s">
        <v>56</v>
      </c>
      <c r="B242" s="3">
        <v>0.65112268518518512</v>
      </c>
      <c r="C242" t="s">
        <v>57</v>
      </c>
      <c r="D242" s="2">
        <v>37.632973333333332</v>
      </c>
      <c r="E242" t="s">
        <v>58</v>
      </c>
      <c r="F242" s="2">
        <v>141.01333500000001</v>
      </c>
      <c r="G242" t="s">
        <v>59</v>
      </c>
      <c r="H242" s="4">
        <v>0.74080000000000013</v>
      </c>
      <c r="I242" s="5">
        <v>74</v>
      </c>
      <c r="J242">
        <v>170220</v>
      </c>
      <c r="M242" t="s">
        <v>57</v>
      </c>
      <c r="N242" t="s">
        <v>61</v>
      </c>
      <c r="O242" s="2">
        <v>5.1754385879121401E-6</v>
      </c>
      <c r="P242" s="2">
        <v>5.6140351034628111E-6</v>
      </c>
      <c r="Q242" s="2">
        <v>0.57811577200345599</v>
      </c>
      <c r="R242" s="2">
        <v>0.49385088682649281</v>
      </c>
      <c r="S242" s="2">
        <v>0.76033318042755127</v>
      </c>
      <c r="T242" s="5">
        <f t="shared" ref="T242:V242" si="480">IFERROR(MROUND(Q242,0.2),-MROUND(ABS(Q242),0.2))</f>
        <v>0.60000000000000009</v>
      </c>
      <c r="U242" s="5">
        <f t="shared" si="480"/>
        <v>0.4</v>
      </c>
      <c r="V242" s="5">
        <f t="shared" si="480"/>
        <v>0.8</v>
      </c>
      <c r="W242" s="2">
        <f t="shared" ref="W242:Y242" si="481">Q242^2</f>
        <v>0.33421784583915193</v>
      </c>
      <c r="X242" s="2">
        <f t="shared" si="481"/>
        <v>0.2438886984193134</v>
      </c>
      <c r="Y242" s="2">
        <f t="shared" si="481"/>
        <v>0.57810654525907523</v>
      </c>
    </row>
    <row r="243" spans="1:25" x14ac:dyDescent="0.7">
      <c r="A243" t="s">
        <v>56</v>
      </c>
      <c r="B243" s="3">
        <v>0.65119212962962958</v>
      </c>
      <c r="C243" t="s">
        <v>57</v>
      </c>
      <c r="D243" s="2">
        <v>37.632981666666666</v>
      </c>
      <c r="E243" t="s">
        <v>58</v>
      </c>
      <c r="F243" s="2">
        <v>141.01333166666666</v>
      </c>
      <c r="G243" t="s">
        <v>59</v>
      </c>
      <c r="H243" s="4">
        <v>0</v>
      </c>
      <c r="I243" s="5">
        <v>74</v>
      </c>
      <c r="J243">
        <v>170220</v>
      </c>
      <c r="M243" t="s">
        <v>57</v>
      </c>
      <c r="N243" t="s">
        <v>87</v>
      </c>
      <c r="O243" s="2">
        <v>1.3508771921522111E-5</v>
      </c>
      <c r="P243" s="2">
        <v>2.280701750123626E-6</v>
      </c>
      <c r="Q243" s="2">
        <v>1.5057428757894278</v>
      </c>
      <c r="R243" s="2">
        <v>0.21251958491087164</v>
      </c>
      <c r="S243" s="2">
        <v>1.5176934032632294</v>
      </c>
      <c r="T243" s="5">
        <f t="shared" ref="T243:V243" si="482">IFERROR(MROUND(Q243,0.2),-MROUND(ABS(Q243),0.2))</f>
        <v>1.6</v>
      </c>
      <c r="U243" s="5">
        <f t="shared" si="482"/>
        <v>0.2</v>
      </c>
      <c r="V243" s="5">
        <f t="shared" si="482"/>
        <v>1.6</v>
      </c>
      <c r="W243" s="2">
        <f t="shared" ref="W243:Y243" si="483">Q243^2</f>
        <v>2.267261607990616</v>
      </c>
      <c r="X243" s="2">
        <f t="shared" si="483"/>
        <v>4.5164573970689181E-2</v>
      </c>
      <c r="Y243" s="2">
        <f t="shared" si="483"/>
        <v>2.3033932663087238</v>
      </c>
    </row>
    <row r="244" spans="1:25" x14ac:dyDescent="0.7">
      <c r="A244" t="s">
        <v>56</v>
      </c>
      <c r="B244" s="3">
        <v>0.65121527777777777</v>
      </c>
      <c r="C244" t="s">
        <v>57</v>
      </c>
      <c r="D244" s="2">
        <v>37.632975000000002</v>
      </c>
      <c r="E244" t="s">
        <v>58</v>
      </c>
      <c r="F244" s="2">
        <v>141.01333166666666</v>
      </c>
      <c r="G244" t="s">
        <v>59</v>
      </c>
      <c r="H244" s="4">
        <v>0</v>
      </c>
      <c r="I244" s="5">
        <v>74</v>
      </c>
      <c r="J244">
        <v>170220</v>
      </c>
      <c r="M244" t="s">
        <v>57</v>
      </c>
      <c r="N244" t="s">
        <v>89</v>
      </c>
      <c r="O244" s="2">
        <v>6.8421052574763053E-6</v>
      </c>
      <c r="P244" s="2">
        <v>2.280701750123626E-6</v>
      </c>
      <c r="Q244" s="2">
        <v>0.76033318042755127</v>
      </c>
      <c r="R244" s="2">
        <v>0.21251958491087164</v>
      </c>
      <c r="S244" s="2">
        <v>0.78947521737459492</v>
      </c>
      <c r="T244" s="5">
        <f t="shared" ref="T244:V244" si="484">IFERROR(MROUND(Q244,0.2),-MROUND(ABS(Q244),0.2))</f>
        <v>0.8</v>
      </c>
      <c r="U244" s="5">
        <f t="shared" si="484"/>
        <v>0.2</v>
      </c>
      <c r="V244" s="5">
        <f t="shared" si="484"/>
        <v>0.8</v>
      </c>
      <c r="W244" s="2">
        <f t="shared" ref="W244:Y244" si="485">Q244^2</f>
        <v>0.57810654525907523</v>
      </c>
      <c r="X244" s="2">
        <f t="shared" si="485"/>
        <v>4.5164573970689181E-2</v>
      </c>
      <c r="Y244" s="2">
        <f t="shared" si="485"/>
        <v>0.62327111884866393</v>
      </c>
    </row>
    <row r="245" spans="1:25" x14ac:dyDescent="0.7">
      <c r="A245" t="s">
        <v>56</v>
      </c>
      <c r="B245" s="3">
        <v>0.65122685185185192</v>
      </c>
      <c r="C245" t="s">
        <v>57</v>
      </c>
      <c r="D245" s="2">
        <v>37.63297166666667</v>
      </c>
      <c r="E245" t="s">
        <v>58</v>
      </c>
      <c r="F245" s="2">
        <v>141.01332666666667</v>
      </c>
      <c r="G245" t="s">
        <v>59</v>
      </c>
      <c r="H245" s="4">
        <v>0.37040000000000006</v>
      </c>
      <c r="I245" s="5">
        <v>74</v>
      </c>
      <c r="J245">
        <v>170220</v>
      </c>
      <c r="M245" t="s">
        <v>57</v>
      </c>
      <c r="N245" t="s">
        <v>60</v>
      </c>
      <c r="O245" s="2">
        <v>3.5087719254534022E-6</v>
      </c>
      <c r="P245" s="2">
        <v>-2.7192982372525876E-6</v>
      </c>
      <c r="Q245" s="2">
        <v>0.3918667507223268</v>
      </c>
      <c r="R245" s="2">
        <v>-0.23280354079412158</v>
      </c>
      <c r="S245" s="2">
        <v>0.45580372870596908</v>
      </c>
      <c r="T245" s="5">
        <f t="shared" ref="T245:V245" si="486">IFERROR(MROUND(Q245,0.2),-MROUND(ABS(Q245),0.2))</f>
        <v>0.4</v>
      </c>
      <c r="U245" s="5">
        <f t="shared" si="486"/>
        <v>-0.2</v>
      </c>
      <c r="V245" s="5">
        <f t="shared" si="486"/>
        <v>0.4</v>
      </c>
      <c r="W245" s="2">
        <f t="shared" ref="W245:Y245" si="487">Q245^2</f>
        <v>0.1535595503216742</v>
      </c>
      <c r="X245" s="2">
        <f t="shared" si="487"/>
        <v>5.4197488606280229E-2</v>
      </c>
      <c r="Y245" s="2">
        <f t="shared" si="487"/>
        <v>0.20775703910226467</v>
      </c>
    </row>
    <row r="246" spans="1:25" x14ac:dyDescent="0.7">
      <c r="A246" t="s">
        <v>56</v>
      </c>
      <c r="B246" s="3">
        <v>0.65123842592592596</v>
      </c>
      <c r="C246" t="s">
        <v>57</v>
      </c>
      <c r="D246" s="2">
        <v>37.63297166666667</v>
      </c>
      <c r="E246" t="s">
        <v>58</v>
      </c>
      <c r="F246" s="2">
        <v>141.01332333333332</v>
      </c>
      <c r="G246" t="s">
        <v>59</v>
      </c>
      <c r="H246" s="4">
        <v>0</v>
      </c>
      <c r="I246" s="5">
        <v>74</v>
      </c>
      <c r="J246">
        <v>170220</v>
      </c>
      <c r="M246" t="s">
        <v>57</v>
      </c>
      <c r="N246" t="s">
        <v>62</v>
      </c>
      <c r="O246" s="2">
        <v>3.5087719254534022E-6</v>
      </c>
      <c r="P246" s="2">
        <v>-6.0526315905917727E-6</v>
      </c>
      <c r="Q246" s="2">
        <v>0.3918667507223268</v>
      </c>
      <c r="R246" s="2">
        <v>-0.5376367471375807</v>
      </c>
      <c r="S246" s="2">
        <v>0.65846784910199041</v>
      </c>
      <c r="T246" s="5">
        <f t="shared" ref="T246:V246" si="488">IFERROR(MROUND(Q246,0.2),-MROUND(ABS(Q246),0.2))</f>
        <v>0.4</v>
      </c>
      <c r="U246" s="5">
        <f t="shared" si="488"/>
        <v>-0.60000000000000009</v>
      </c>
      <c r="V246" s="5">
        <f t="shared" si="488"/>
        <v>0.60000000000000009</v>
      </c>
      <c r="W246" s="2">
        <f t="shared" ref="W246:Y246" si="489">Q246^2</f>
        <v>0.1535595503216742</v>
      </c>
      <c r="X246" s="2">
        <f t="shared" si="489"/>
        <v>0.28905327187267887</v>
      </c>
      <c r="Y246" s="2">
        <f t="shared" si="489"/>
        <v>0.43357990830100163</v>
      </c>
    </row>
    <row r="247" spans="1:25" x14ac:dyDescent="0.7">
      <c r="A247" t="s">
        <v>56</v>
      </c>
      <c r="B247" s="3">
        <v>0.65125</v>
      </c>
      <c r="C247" t="s">
        <v>57</v>
      </c>
      <c r="D247" s="2">
        <v>37.63297166666667</v>
      </c>
      <c r="E247" t="s">
        <v>58</v>
      </c>
      <c r="F247" s="2">
        <v>141.01332166666668</v>
      </c>
      <c r="G247" t="s">
        <v>59</v>
      </c>
      <c r="H247" s="4">
        <v>0</v>
      </c>
      <c r="I247" s="5">
        <v>74</v>
      </c>
      <c r="J247">
        <v>170220</v>
      </c>
      <c r="M247" t="s">
        <v>57</v>
      </c>
      <c r="N247" t="s">
        <v>65</v>
      </c>
      <c r="O247" s="2">
        <v>3.5087719254534022E-6</v>
      </c>
      <c r="P247" s="2">
        <v>-7.7192982246288011E-6</v>
      </c>
      <c r="Q247" s="2">
        <v>0.3918667507223268</v>
      </c>
      <c r="R247" s="2">
        <v>-0.68535506657847467</v>
      </c>
      <c r="S247" s="2">
        <v>0.7837335028608845</v>
      </c>
      <c r="T247" s="5">
        <f t="shared" ref="T247:V247" si="490">IFERROR(MROUND(Q247,0.2),-MROUND(ABS(Q247),0.2))</f>
        <v>0.4</v>
      </c>
      <c r="U247" s="5">
        <f t="shared" si="490"/>
        <v>-0.60000000000000009</v>
      </c>
      <c r="V247" s="5">
        <f t="shared" si="490"/>
        <v>0.8</v>
      </c>
      <c r="W247" s="2">
        <f t="shared" ref="W247:Y247" si="491">Q247^2</f>
        <v>0.1535595503216742</v>
      </c>
      <c r="X247" s="2">
        <f t="shared" si="491"/>
        <v>0.46971156728478547</v>
      </c>
      <c r="Y247" s="2">
        <f t="shared" si="491"/>
        <v>0.61423820350659208</v>
      </c>
    </row>
    <row r="248" spans="1:25" x14ac:dyDescent="0.7">
      <c r="A248" t="s">
        <v>56</v>
      </c>
      <c r="B248" s="3">
        <v>0.65126157407407403</v>
      </c>
      <c r="C248" t="s">
        <v>57</v>
      </c>
      <c r="D248" s="2">
        <v>37.63297166666667</v>
      </c>
      <c r="E248" t="s">
        <v>58</v>
      </c>
      <c r="F248" s="2">
        <v>141.01332333333332</v>
      </c>
      <c r="G248" t="s">
        <v>59</v>
      </c>
      <c r="H248" s="4">
        <v>0.37040000000000006</v>
      </c>
      <c r="I248" s="5">
        <v>74</v>
      </c>
      <c r="J248">
        <v>170220</v>
      </c>
      <c r="M248" t="s">
        <v>57</v>
      </c>
      <c r="N248" t="s">
        <v>63</v>
      </c>
      <c r="O248" s="2">
        <v>3.5087719254534022E-6</v>
      </c>
      <c r="P248" s="2">
        <v>-6.0526315905917727E-6</v>
      </c>
      <c r="Q248" s="2">
        <v>0.3918667507223268</v>
      </c>
      <c r="R248" s="2">
        <v>-0.5376367471375807</v>
      </c>
      <c r="S248" s="2">
        <v>0.65846784910199041</v>
      </c>
      <c r="T248" s="5">
        <f t="shared" ref="T248:V248" si="492">IFERROR(MROUND(Q248,0.2),-MROUND(ABS(Q248),0.2))</f>
        <v>0.4</v>
      </c>
      <c r="U248" s="5">
        <f t="shared" si="492"/>
        <v>-0.60000000000000009</v>
      </c>
      <c r="V248" s="5">
        <f t="shared" si="492"/>
        <v>0.60000000000000009</v>
      </c>
      <c r="W248" s="2">
        <f t="shared" ref="W248:Y248" si="493">Q248^2</f>
        <v>0.1535595503216742</v>
      </c>
      <c r="X248" s="2">
        <f t="shared" si="493"/>
        <v>0.28905327187267887</v>
      </c>
      <c r="Y248" s="2">
        <f t="shared" si="493"/>
        <v>0.43357990830100163</v>
      </c>
    </row>
    <row r="249" spans="1:25" x14ac:dyDescent="0.7">
      <c r="A249" t="s">
        <v>56</v>
      </c>
      <c r="B249" s="3">
        <v>0.65128472222222222</v>
      </c>
      <c r="C249" t="s">
        <v>57</v>
      </c>
      <c r="D249" s="2">
        <v>37.632966666666668</v>
      </c>
      <c r="E249" t="s">
        <v>58</v>
      </c>
      <c r="F249" s="2">
        <v>141.01332333333332</v>
      </c>
      <c r="G249" t="s">
        <v>59</v>
      </c>
      <c r="H249" s="4">
        <v>0.37040000000000006</v>
      </c>
      <c r="I249" s="5">
        <v>74</v>
      </c>
      <c r="J249">
        <v>170220</v>
      </c>
      <c r="M249" t="s">
        <v>57</v>
      </c>
      <c r="N249" t="s">
        <v>70</v>
      </c>
      <c r="O249" s="2">
        <v>-1.491228076133666E-6</v>
      </c>
      <c r="P249" s="2">
        <v>-6.0526315905917727E-6</v>
      </c>
      <c r="Q249" s="2">
        <v>-0.1646169622754976</v>
      </c>
      <c r="R249" s="2">
        <v>-0.5376367471375807</v>
      </c>
      <c r="S249" s="2">
        <v>0.56227396882598613</v>
      </c>
      <c r="T249" s="5">
        <f t="shared" ref="T249:V249" si="494">IFERROR(MROUND(Q249,0.2),-MROUND(ABS(Q249),0.2))</f>
        <v>-0.2</v>
      </c>
      <c r="U249" s="5">
        <f t="shared" si="494"/>
        <v>-0.60000000000000009</v>
      </c>
      <c r="V249" s="5">
        <f t="shared" si="494"/>
        <v>0.60000000000000009</v>
      </c>
      <c r="W249" s="2">
        <f t="shared" ref="W249:Y249" si="495">Q249^2</f>
        <v>2.7098744268812602E-2</v>
      </c>
      <c r="X249" s="2">
        <f t="shared" si="495"/>
        <v>0.28905327187267887</v>
      </c>
      <c r="Y249" s="2">
        <f t="shared" si="495"/>
        <v>0.31615201601932602</v>
      </c>
    </row>
    <row r="250" spans="1:25" x14ac:dyDescent="0.7">
      <c r="A250" t="s">
        <v>56</v>
      </c>
      <c r="B250" s="3">
        <v>0.65130787037037041</v>
      </c>
      <c r="C250" t="s">
        <v>57</v>
      </c>
      <c r="D250" s="2">
        <v>37.632964999999999</v>
      </c>
      <c r="E250" t="s">
        <v>58</v>
      </c>
      <c r="F250" s="2">
        <v>141.01332333333332</v>
      </c>
      <c r="G250" t="s">
        <v>59</v>
      </c>
      <c r="H250" s="4">
        <v>0</v>
      </c>
      <c r="I250" s="5">
        <v>74</v>
      </c>
      <c r="J250">
        <v>170220</v>
      </c>
      <c r="M250" t="s">
        <v>57</v>
      </c>
      <c r="N250" t="s">
        <v>62</v>
      </c>
      <c r="O250" s="2">
        <v>-3.1578947456978312E-6</v>
      </c>
      <c r="P250" s="2">
        <v>-6.0526315905917727E-6</v>
      </c>
      <c r="Q250" s="2">
        <v>-0.34267753328923733</v>
      </c>
      <c r="R250" s="2">
        <v>-0.5376367471375807</v>
      </c>
      <c r="S250" s="2">
        <v>0.63755875331638401</v>
      </c>
      <c r="T250" s="5">
        <f t="shared" ref="T250:V250" si="496">IFERROR(MROUND(Q250,0.2),-MROUND(ABS(Q250),0.2))</f>
        <v>-0.4</v>
      </c>
      <c r="U250" s="5">
        <f t="shared" si="496"/>
        <v>-0.60000000000000009</v>
      </c>
      <c r="V250" s="5">
        <f t="shared" si="496"/>
        <v>0.60000000000000009</v>
      </c>
      <c r="W250" s="2">
        <f t="shared" ref="W250:Y250" si="497">Q250^2</f>
        <v>0.11742789182119637</v>
      </c>
      <c r="X250" s="2">
        <f t="shared" si="497"/>
        <v>0.28905327187267887</v>
      </c>
      <c r="Y250" s="2">
        <f t="shared" si="497"/>
        <v>0.40648116393034178</v>
      </c>
    </row>
    <row r="251" spans="1:25" x14ac:dyDescent="0.7">
      <c r="A251" t="s">
        <v>56</v>
      </c>
      <c r="B251" s="3">
        <v>0.65131944444444445</v>
      </c>
      <c r="C251" t="s">
        <v>57</v>
      </c>
      <c r="D251" s="2">
        <v>37.632964999999999</v>
      </c>
      <c r="E251" t="s">
        <v>58</v>
      </c>
      <c r="F251" s="2">
        <v>141.01332333333332</v>
      </c>
      <c r="G251" t="s">
        <v>59</v>
      </c>
      <c r="H251" s="4">
        <v>0.37040000000000006</v>
      </c>
      <c r="I251" s="5">
        <v>74</v>
      </c>
      <c r="J251">
        <v>170220</v>
      </c>
      <c r="M251" t="s">
        <v>57</v>
      </c>
      <c r="N251" t="s">
        <v>91</v>
      </c>
      <c r="O251" s="2">
        <v>-3.1578947456978312E-6</v>
      </c>
      <c r="P251" s="2">
        <v>-6.0526315905917727E-6</v>
      </c>
      <c r="Q251" s="2">
        <v>-0.34267753328923733</v>
      </c>
      <c r="R251" s="2">
        <v>-0.5376367471375807</v>
      </c>
      <c r="S251" s="2">
        <v>0.63755875331638401</v>
      </c>
      <c r="T251" s="5">
        <f t="shared" ref="T251:V251" si="498">IFERROR(MROUND(Q251,0.2),-MROUND(ABS(Q251),0.2))</f>
        <v>-0.4</v>
      </c>
      <c r="U251" s="5">
        <f t="shared" si="498"/>
        <v>-0.60000000000000009</v>
      </c>
      <c r="V251" s="5">
        <f t="shared" si="498"/>
        <v>0.60000000000000009</v>
      </c>
      <c r="W251" s="2">
        <f t="shared" ref="W251:Y251" si="499">Q251^2</f>
        <v>0.11742789182119637</v>
      </c>
      <c r="X251" s="2">
        <f t="shared" si="499"/>
        <v>0.28905327187267887</v>
      </c>
      <c r="Y251" s="2">
        <f t="shared" si="499"/>
        <v>0.40648116393034178</v>
      </c>
    </row>
    <row r="252" spans="1:25" x14ac:dyDescent="0.7">
      <c r="A252" t="s">
        <v>56</v>
      </c>
      <c r="B252" s="3">
        <v>0.65133101851851849</v>
      </c>
      <c r="C252" t="s">
        <v>57</v>
      </c>
      <c r="D252" s="2">
        <v>37.632966666666668</v>
      </c>
      <c r="E252" t="s">
        <v>58</v>
      </c>
      <c r="F252" s="2">
        <v>141.01332333333332</v>
      </c>
      <c r="G252" t="s">
        <v>59</v>
      </c>
      <c r="H252" s="4">
        <v>0.55559999999999998</v>
      </c>
      <c r="I252" s="5">
        <v>74</v>
      </c>
      <c r="J252">
        <v>170220</v>
      </c>
      <c r="M252" t="s">
        <v>57</v>
      </c>
      <c r="N252" t="s">
        <v>87</v>
      </c>
      <c r="O252" s="2">
        <v>-1.491228076133666E-6</v>
      </c>
      <c r="P252" s="2">
        <v>-6.0526315905917727E-6</v>
      </c>
      <c r="Q252" s="2">
        <v>-0.1646169622754976</v>
      </c>
      <c r="R252" s="2">
        <v>-0.5376367471375807</v>
      </c>
      <c r="S252" s="2">
        <v>0.56227396882598613</v>
      </c>
      <c r="T252" s="5">
        <f t="shared" ref="T252:V252" si="500">IFERROR(MROUND(Q252,0.2),-MROUND(ABS(Q252),0.2))</f>
        <v>-0.2</v>
      </c>
      <c r="U252" s="5">
        <f t="shared" si="500"/>
        <v>-0.60000000000000009</v>
      </c>
      <c r="V252" s="5">
        <f t="shared" si="500"/>
        <v>0.60000000000000009</v>
      </c>
      <c r="W252" s="2">
        <f t="shared" ref="W252:Y252" si="501">Q252^2</f>
        <v>2.7098744268812602E-2</v>
      </c>
      <c r="X252" s="2">
        <f t="shared" si="501"/>
        <v>0.28905327187267887</v>
      </c>
      <c r="Y252" s="2">
        <f t="shared" si="501"/>
        <v>0.31615201601932602</v>
      </c>
    </row>
    <row r="253" spans="1:25" x14ac:dyDescent="0.7">
      <c r="A253" t="s">
        <v>56</v>
      </c>
      <c r="B253" s="3">
        <v>0.65134259259259253</v>
      </c>
      <c r="C253" t="s">
        <v>57</v>
      </c>
      <c r="D253" s="2">
        <v>37.632966666666668</v>
      </c>
      <c r="E253" t="s">
        <v>58</v>
      </c>
      <c r="F253" s="2">
        <v>141.01332333333332</v>
      </c>
      <c r="G253" t="s">
        <v>59</v>
      </c>
      <c r="H253" s="4">
        <v>0</v>
      </c>
      <c r="I253" s="5">
        <v>74</v>
      </c>
      <c r="J253">
        <v>170220</v>
      </c>
      <c r="M253" t="s">
        <v>57</v>
      </c>
      <c r="N253" t="s">
        <v>87</v>
      </c>
      <c r="O253" s="2">
        <v>-1.491228076133666E-6</v>
      </c>
      <c r="P253" s="2">
        <v>-6.0526315905917727E-6</v>
      </c>
      <c r="Q253" s="2">
        <v>-0.1646169622754976</v>
      </c>
      <c r="R253" s="2">
        <v>-0.5376367471375807</v>
      </c>
      <c r="S253" s="2">
        <v>0.56227396882598613</v>
      </c>
      <c r="T253" s="5">
        <f t="shared" ref="T253:V253" si="502">IFERROR(MROUND(Q253,0.2),-MROUND(ABS(Q253),0.2))</f>
        <v>-0.2</v>
      </c>
      <c r="U253" s="5">
        <f t="shared" si="502"/>
        <v>-0.60000000000000009</v>
      </c>
      <c r="V253" s="5">
        <f t="shared" si="502"/>
        <v>0.60000000000000009</v>
      </c>
      <c r="W253" s="2">
        <f t="shared" ref="W253:Y253" si="503">Q253^2</f>
        <v>2.7098744268812602E-2</v>
      </c>
      <c r="X253" s="2">
        <f t="shared" si="503"/>
        <v>0.28905327187267887</v>
      </c>
      <c r="Y253" s="2">
        <f t="shared" si="503"/>
        <v>0.31615201601932602</v>
      </c>
    </row>
    <row r="254" spans="1:25" x14ac:dyDescent="0.7">
      <c r="A254" t="s">
        <v>56</v>
      </c>
      <c r="B254" s="3">
        <v>0.65137731481481487</v>
      </c>
      <c r="C254" t="s">
        <v>57</v>
      </c>
      <c r="D254" s="2">
        <v>37.632964999999999</v>
      </c>
      <c r="E254" t="s">
        <v>58</v>
      </c>
      <c r="F254" s="2">
        <v>141.01333000000002</v>
      </c>
      <c r="G254" t="s">
        <v>59</v>
      </c>
      <c r="H254" s="4">
        <v>0.74080000000000013</v>
      </c>
      <c r="I254" s="5">
        <v>114.4</v>
      </c>
      <c r="J254">
        <v>170220</v>
      </c>
      <c r="M254" t="s">
        <v>57</v>
      </c>
      <c r="N254" t="s">
        <v>78</v>
      </c>
      <c r="O254" s="2">
        <v>-3.1578947456978312E-6</v>
      </c>
      <c r="P254" s="2">
        <v>6.1403511608659755E-7</v>
      </c>
      <c r="Q254" s="2">
        <v>-0.34267753328923733</v>
      </c>
      <c r="R254" s="2">
        <v>9.5041647553443909E-2</v>
      </c>
      <c r="S254" s="2">
        <v>0.35561328162303774</v>
      </c>
      <c r="T254" s="5">
        <f t="shared" ref="T254:V254" si="504">IFERROR(MROUND(Q254,0.2),-MROUND(ABS(Q254),0.2))</f>
        <v>-0.4</v>
      </c>
      <c r="U254" s="5">
        <f t="shared" si="504"/>
        <v>0</v>
      </c>
      <c r="V254" s="5">
        <f t="shared" si="504"/>
        <v>0.4</v>
      </c>
      <c r="W254" s="2">
        <f t="shared" ref="W254:Y254" si="505">Q254^2</f>
        <v>0.11742789182119637</v>
      </c>
      <c r="X254" s="2">
        <f t="shared" si="505"/>
        <v>9.0329147696730505E-3</v>
      </c>
      <c r="Y254" s="2">
        <f t="shared" si="505"/>
        <v>0.12646080606670596</v>
      </c>
    </row>
    <row r="255" spans="1:25" x14ac:dyDescent="0.7">
      <c r="A255" t="s">
        <v>56</v>
      </c>
      <c r="B255" s="3">
        <v>0.65138888888888891</v>
      </c>
      <c r="C255" t="s">
        <v>57</v>
      </c>
      <c r="D255" s="2">
        <v>37.632964999999999</v>
      </c>
      <c r="E255" t="s">
        <v>58</v>
      </c>
      <c r="F255" s="2">
        <v>141.01333166666666</v>
      </c>
      <c r="G255" t="s">
        <v>59</v>
      </c>
      <c r="H255" s="4">
        <v>0</v>
      </c>
      <c r="I255" s="5">
        <v>114.4</v>
      </c>
      <c r="J255">
        <v>170220</v>
      </c>
      <c r="M255" t="s">
        <v>57</v>
      </c>
      <c r="N255" t="s">
        <v>75</v>
      </c>
      <c r="O255" s="2">
        <v>-3.1578947456978312E-6</v>
      </c>
      <c r="P255" s="2">
        <v>2.280701750123626E-6</v>
      </c>
      <c r="Q255" s="2">
        <v>-0.34267753328923733</v>
      </c>
      <c r="R255" s="2">
        <v>0.21251958491087164</v>
      </c>
      <c r="S255" s="2">
        <v>0.40322756106130098</v>
      </c>
      <c r="T255" s="5">
        <f t="shared" ref="T255:V255" si="506">IFERROR(MROUND(Q255,0.2),-MROUND(ABS(Q255),0.2))</f>
        <v>-0.4</v>
      </c>
      <c r="U255" s="5">
        <f t="shared" si="506"/>
        <v>0.2</v>
      </c>
      <c r="V255" s="5">
        <f t="shared" si="506"/>
        <v>0.4</v>
      </c>
      <c r="W255" s="2">
        <f t="shared" ref="W255:Y255" si="507">Q255^2</f>
        <v>0.11742789182119637</v>
      </c>
      <c r="X255" s="2">
        <f t="shared" si="507"/>
        <v>4.5164573970689181E-2</v>
      </c>
      <c r="Y255" s="2">
        <f t="shared" si="507"/>
        <v>0.16259246599944521</v>
      </c>
    </row>
    <row r="256" spans="1:25" x14ac:dyDescent="0.7">
      <c r="A256" t="s">
        <v>56</v>
      </c>
      <c r="B256" s="3">
        <v>0.65140046296296295</v>
      </c>
      <c r="C256" t="s">
        <v>57</v>
      </c>
      <c r="D256" s="2">
        <v>37.632963333333336</v>
      </c>
      <c r="E256" t="s">
        <v>58</v>
      </c>
      <c r="F256" s="2">
        <v>141.01333500000001</v>
      </c>
      <c r="G256" t="s">
        <v>59</v>
      </c>
      <c r="H256" s="4">
        <v>0</v>
      </c>
      <c r="I256" s="5">
        <v>114.4</v>
      </c>
      <c r="J256">
        <v>170220</v>
      </c>
      <c r="M256" t="s">
        <v>57</v>
      </c>
      <c r="N256" t="s">
        <v>84</v>
      </c>
      <c r="O256" s="2">
        <v>-4.8245614081565691E-6</v>
      </c>
      <c r="P256" s="2">
        <v>5.6140351034628111E-6</v>
      </c>
      <c r="Q256" s="2">
        <v>-0.5376367471375807</v>
      </c>
      <c r="R256" s="2">
        <v>0.49385088682649281</v>
      </c>
      <c r="S256" s="2">
        <v>0.73002874646870386</v>
      </c>
      <c r="T256" s="5">
        <f t="shared" ref="T256:V256" si="508">IFERROR(MROUND(Q256,0.2),-MROUND(ABS(Q256),0.2))</f>
        <v>-0.60000000000000009</v>
      </c>
      <c r="U256" s="5">
        <f t="shared" si="508"/>
        <v>0.4</v>
      </c>
      <c r="V256" s="5">
        <f t="shared" si="508"/>
        <v>0.8</v>
      </c>
      <c r="W256" s="2">
        <f t="shared" ref="W256:Y256" si="509">Q256^2</f>
        <v>0.28905327187267887</v>
      </c>
      <c r="X256" s="2">
        <f t="shared" si="509"/>
        <v>0.2438886984193134</v>
      </c>
      <c r="Y256" s="2">
        <f t="shared" si="509"/>
        <v>0.53294197067066706</v>
      </c>
    </row>
    <row r="257" spans="1:25" x14ac:dyDescent="0.7">
      <c r="A257" t="s">
        <v>56</v>
      </c>
      <c r="B257" s="3">
        <v>0.65141203703703698</v>
      </c>
      <c r="C257" t="s">
        <v>57</v>
      </c>
      <c r="D257" s="2">
        <v>37.632961666666667</v>
      </c>
      <c r="E257" t="s">
        <v>58</v>
      </c>
      <c r="F257" s="2">
        <v>141.01333833333334</v>
      </c>
      <c r="G257" t="s">
        <v>59</v>
      </c>
      <c r="H257" s="4">
        <v>0.55559999999999998</v>
      </c>
      <c r="I257" s="5">
        <v>114.4</v>
      </c>
      <c r="J257">
        <v>170220</v>
      </c>
      <c r="M257" t="s">
        <v>57</v>
      </c>
      <c r="N257" t="s">
        <v>71</v>
      </c>
      <c r="O257" s="2">
        <v>-6.4912280777207343E-6</v>
      </c>
      <c r="P257" s="2">
        <v>8.9473684283802868E-6</v>
      </c>
      <c r="Q257" s="2">
        <v>-0.7238156225017216</v>
      </c>
      <c r="R257" s="2">
        <v>0.78947521737459492</v>
      </c>
      <c r="S257" s="2">
        <v>1.0710649729339645</v>
      </c>
      <c r="T257" s="5">
        <f t="shared" ref="T257:V257" si="510">IFERROR(MROUND(Q257,0.2),-MROUND(ABS(Q257),0.2))</f>
        <v>-0.8</v>
      </c>
      <c r="U257" s="5">
        <f t="shared" si="510"/>
        <v>0.8</v>
      </c>
      <c r="V257" s="5">
        <f t="shared" si="510"/>
        <v>1</v>
      </c>
      <c r="W257" s="2">
        <f t="shared" ref="W257:Y257" si="511">Q257^2</f>
        <v>0.52390905537755472</v>
      </c>
      <c r="X257" s="2">
        <f t="shared" si="511"/>
        <v>0.62327111884866393</v>
      </c>
      <c r="Y257" s="2">
        <f t="shared" si="511"/>
        <v>1.1471801762460341</v>
      </c>
    </row>
    <row r="258" spans="1:25" x14ac:dyDescent="0.7">
      <c r="A258" t="s">
        <v>56</v>
      </c>
      <c r="B258" s="3">
        <v>0.65142361111111113</v>
      </c>
      <c r="C258" t="s">
        <v>57</v>
      </c>
      <c r="D258" s="2">
        <v>37.632960000000004</v>
      </c>
      <c r="E258" t="s">
        <v>58</v>
      </c>
      <c r="F258" s="2">
        <v>141.01333833333334</v>
      </c>
      <c r="G258" t="s">
        <v>59</v>
      </c>
      <c r="H258" s="4">
        <v>0</v>
      </c>
      <c r="I258" s="5">
        <v>114.4</v>
      </c>
      <c r="J258">
        <v>170220</v>
      </c>
      <c r="M258" t="s">
        <v>57</v>
      </c>
      <c r="N258" t="s">
        <v>83</v>
      </c>
      <c r="O258" s="2">
        <v>-8.1578947401794721E-6</v>
      </c>
      <c r="P258" s="2">
        <v>8.9473684283802868E-6</v>
      </c>
      <c r="Q258" s="2">
        <v>-0.9066395332293935</v>
      </c>
      <c r="R258" s="2">
        <v>0.78947521737459492</v>
      </c>
      <c r="S258" s="2">
        <v>1.2021923143756752</v>
      </c>
      <c r="T258" s="5">
        <f t="shared" ref="T258:V258" si="512">IFERROR(MROUND(Q258,0.2),-MROUND(ABS(Q258),0.2))</f>
        <v>-1</v>
      </c>
      <c r="U258" s="5">
        <f t="shared" si="512"/>
        <v>0.8</v>
      </c>
      <c r="V258" s="5">
        <f t="shared" si="512"/>
        <v>1.2000000000000002</v>
      </c>
      <c r="W258" s="2">
        <f t="shared" ref="W258:Y258" si="513">Q258^2</f>
        <v>0.82199524321441253</v>
      </c>
      <c r="X258" s="2">
        <f t="shared" si="513"/>
        <v>0.62327111884866393</v>
      </c>
      <c r="Y258" s="2">
        <f t="shared" si="513"/>
        <v>1.4452663607439422</v>
      </c>
    </row>
    <row r="259" spans="1:25" x14ac:dyDescent="0.7">
      <c r="A259" t="s">
        <v>56</v>
      </c>
      <c r="B259" s="3">
        <v>0.65143518518518517</v>
      </c>
      <c r="C259" t="s">
        <v>57</v>
      </c>
      <c r="D259" s="2">
        <v>37.632960000000004</v>
      </c>
      <c r="E259" t="s">
        <v>58</v>
      </c>
      <c r="F259" s="2">
        <v>141.01334166666666</v>
      </c>
      <c r="G259" t="s">
        <v>59</v>
      </c>
      <c r="H259" s="4">
        <v>0</v>
      </c>
      <c r="I259" s="5">
        <v>114.4</v>
      </c>
      <c r="J259">
        <v>170220</v>
      </c>
      <c r="M259" t="s">
        <v>57</v>
      </c>
      <c r="N259" t="s">
        <v>72</v>
      </c>
      <c r="O259" s="2">
        <v>-8.1578947401794721E-6</v>
      </c>
      <c r="P259" s="2">
        <v>1.2280701753297762E-5</v>
      </c>
      <c r="Q259" s="2">
        <v>-0.9066395332293935</v>
      </c>
      <c r="R259" s="2">
        <v>1.0836415084596707</v>
      </c>
      <c r="S259" s="2">
        <v>1.4128956667016817</v>
      </c>
      <c r="T259" s="5">
        <f t="shared" ref="T259:V259" si="514">IFERROR(MROUND(Q259,0.2),-MROUND(ABS(Q259),0.2))</f>
        <v>-1</v>
      </c>
      <c r="U259" s="5">
        <f t="shared" si="514"/>
        <v>1</v>
      </c>
      <c r="V259" s="5">
        <f t="shared" si="514"/>
        <v>1.4000000000000001</v>
      </c>
      <c r="W259" s="2">
        <f t="shared" ref="W259:Y259" si="515">Q259^2</f>
        <v>0.82199524321441253</v>
      </c>
      <c r="X259" s="2">
        <f t="shared" si="515"/>
        <v>1.1742789188567504</v>
      </c>
      <c r="Y259" s="2">
        <f t="shared" si="515"/>
        <v>1.9962741649843896</v>
      </c>
    </row>
    <row r="260" spans="1:25" x14ac:dyDescent="0.7">
      <c r="A260" t="s">
        <v>56</v>
      </c>
      <c r="B260" s="3">
        <v>0.65231481481481479</v>
      </c>
      <c r="C260" t="s">
        <v>57</v>
      </c>
      <c r="D260" s="2">
        <v>37.632930000000002</v>
      </c>
      <c r="E260" t="s">
        <v>58</v>
      </c>
      <c r="F260" s="2">
        <v>141.013395</v>
      </c>
      <c r="G260" t="s">
        <v>59</v>
      </c>
      <c r="H260" s="4">
        <v>0.74080000000000013</v>
      </c>
      <c r="I260" s="5">
        <v>102.2</v>
      </c>
      <c r="J260">
        <v>170220</v>
      </c>
      <c r="M260" t="s">
        <v>57</v>
      </c>
      <c r="N260" t="s">
        <v>84</v>
      </c>
      <c r="O260" s="2">
        <v>-4.1666666490414173E-6</v>
      </c>
      <c r="P260" s="2">
        <v>1.4666666658058602E-5</v>
      </c>
      <c r="Q260" s="2">
        <v>-0.47520823776721954</v>
      </c>
      <c r="R260" s="2">
        <v>1.299674983191075</v>
      </c>
      <c r="S260" s="2">
        <v>1.3772843209458256</v>
      </c>
      <c r="T260" s="5">
        <f t="shared" ref="T260:V260" si="516">IFERROR(MROUND(Q260,0.2),-MROUND(ABS(Q260),0.2))</f>
        <v>-0.4</v>
      </c>
      <c r="U260" s="5">
        <f t="shared" si="516"/>
        <v>1.2000000000000002</v>
      </c>
      <c r="V260" s="5">
        <f t="shared" si="516"/>
        <v>1.4000000000000001</v>
      </c>
      <c r="W260" s="2">
        <f t="shared" ref="W260:Y260" si="517">Q260^2</f>
        <v>0.22582286924182626</v>
      </c>
      <c r="X260" s="2">
        <f t="shared" si="517"/>
        <v>1.6891550619327211</v>
      </c>
      <c r="Y260" s="2">
        <f t="shared" si="517"/>
        <v>1.8969121007232042</v>
      </c>
    </row>
    <row r="261" spans="1:25" x14ac:dyDescent="0.7">
      <c r="A261" t="s">
        <v>56</v>
      </c>
      <c r="B261" s="3">
        <v>0.65233796296296298</v>
      </c>
      <c r="C261" t="s">
        <v>57</v>
      </c>
      <c r="D261" s="2">
        <v>37.63292666666667</v>
      </c>
      <c r="E261" t="s">
        <v>58</v>
      </c>
      <c r="F261" s="2">
        <v>141.01339000000002</v>
      </c>
      <c r="G261" t="s">
        <v>59</v>
      </c>
      <c r="H261" s="4">
        <v>0</v>
      </c>
      <c r="I261" s="5">
        <v>102.2</v>
      </c>
      <c r="J261">
        <v>170220</v>
      </c>
      <c r="M261" t="s">
        <v>57</v>
      </c>
      <c r="N261" t="s">
        <v>86</v>
      </c>
      <c r="O261" s="2">
        <v>-7.4999999810643203E-6</v>
      </c>
      <c r="P261" s="2">
        <v>9.6666666706823889E-6</v>
      </c>
      <c r="Q261" s="2">
        <v>-0.83938510373363484</v>
      </c>
      <c r="R261" s="2">
        <v>0.86063872176410272</v>
      </c>
      <c r="S261" s="2">
        <v>1.1946549847666921</v>
      </c>
      <c r="T261" s="5">
        <f t="shared" ref="T261:V261" si="518">IFERROR(MROUND(Q261,0.2),-MROUND(ABS(Q261),0.2))</f>
        <v>-0.8</v>
      </c>
      <c r="U261" s="5">
        <f t="shared" si="518"/>
        <v>0.8</v>
      </c>
      <c r="V261" s="5">
        <f t="shared" si="518"/>
        <v>1.2000000000000002</v>
      </c>
      <c r="W261" s="2">
        <f t="shared" ref="W261:Y261" si="519">Q261^2</f>
        <v>0.70456735236992496</v>
      </c>
      <c r="X261" s="2">
        <f t="shared" si="519"/>
        <v>0.74069900939974864</v>
      </c>
      <c r="Y261" s="2">
        <f t="shared" si="519"/>
        <v>1.4272005326279054</v>
      </c>
    </row>
    <row r="262" spans="1:25" x14ac:dyDescent="0.7">
      <c r="A262" t="s">
        <v>56</v>
      </c>
      <c r="B262" s="3">
        <v>0.65234953703703702</v>
      </c>
      <c r="C262" t="s">
        <v>57</v>
      </c>
      <c r="D262" s="2">
        <v>37.63292666666667</v>
      </c>
      <c r="E262" t="s">
        <v>58</v>
      </c>
      <c r="F262" s="2">
        <v>141.01338666666666</v>
      </c>
      <c r="G262" t="s">
        <v>59</v>
      </c>
      <c r="H262" s="4">
        <v>0</v>
      </c>
      <c r="I262" s="5">
        <v>102.2</v>
      </c>
      <c r="J262">
        <v>170220</v>
      </c>
      <c r="M262" t="s">
        <v>57</v>
      </c>
      <c r="N262" t="s">
        <v>80</v>
      </c>
      <c r="O262" s="2">
        <v>-7.4999999810643203E-6</v>
      </c>
      <c r="P262" s="2">
        <v>6.3333333173432038E-6</v>
      </c>
      <c r="Q262" s="2">
        <v>-0.83938510373363484</v>
      </c>
      <c r="R262" s="2">
        <v>0.57024988532066345</v>
      </c>
      <c r="S262" s="2">
        <v>1.0058262535630209</v>
      </c>
      <c r="T262" s="5">
        <f t="shared" ref="T262:V262" si="520">IFERROR(MROUND(Q262,0.2),-MROUND(ABS(Q262),0.2))</f>
        <v>-0.8</v>
      </c>
      <c r="U262" s="5">
        <f t="shared" si="520"/>
        <v>0.60000000000000009</v>
      </c>
      <c r="V262" s="5">
        <f t="shared" si="520"/>
        <v>1</v>
      </c>
      <c r="W262" s="2">
        <f t="shared" ref="W262:Y262" si="521">Q262^2</f>
        <v>0.70456735236992496</v>
      </c>
      <c r="X262" s="2">
        <f t="shared" si="521"/>
        <v>0.32518493170822982</v>
      </c>
      <c r="Y262" s="2">
        <f t="shared" si="521"/>
        <v>1.0116864523566225</v>
      </c>
    </row>
    <row r="263" spans="1:25" x14ac:dyDescent="0.7">
      <c r="A263" t="s">
        <v>56</v>
      </c>
      <c r="B263" s="3">
        <v>0.65236111111111106</v>
      </c>
      <c r="C263" t="s">
        <v>57</v>
      </c>
      <c r="D263" s="2">
        <v>37.632928333333332</v>
      </c>
      <c r="E263" t="s">
        <v>58</v>
      </c>
      <c r="F263" s="2">
        <v>141.01338666666666</v>
      </c>
      <c r="G263" t="s">
        <v>59</v>
      </c>
      <c r="H263" s="4">
        <v>0</v>
      </c>
      <c r="I263" s="5">
        <v>102.2</v>
      </c>
      <c r="J263">
        <v>170220</v>
      </c>
      <c r="M263" t="s">
        <v>57</v>
      </c>
      <c r="N263" t="s">
        <v>73</v>
      </c>
      <c r="O263" s="2">
        <v>-5.8333333186055825E-6</v>
      </c>
      <c r="P263" s="2">
        <v>6.3333333173432038E-6</v>
      </c>
      <c r="Q263" s="2">
        <v>-0.65157270798306222</v>
      </c>
      <c r="R263" s="2">
        <v>0.57024988532066345</v>
      </c>
      <c r="S263" s="2">
        <v>0.85537482798099518</v>
      </c>
      <c r="T263" s="5">
        <f t="shared" ref="T263:V263" si="522">IFERROR(MROUND(Q263,0.2),-MROUND(ABS(Q263),0.2))</f>
        <v>-0.60000000000000009</v>
      </c>
      <c r="U263" s="5">
        <f t="shared" si="522"/>
        <v>0.60000000000000009</v>
      </c>
      <c r="V263" s="5">
        <f t="shared" si="522"/>
        <v>0.8</v>
      </c>
      <c r="W263" s="2">
        <f t="shared" ref="W263:Y263" si="523">Q263^2</f>
        <v>0.42454699378838084</v>
      </c>
      <c r="X263" s="2">
        <f t="shared" si="523"/>
        <v>0.32518493170822982</v>
      </c>
      <c r="Y263" s="2">
        <f t="shared" si="523"/>
        <v>0.73166609634351709</v>
      </c>
    </row>
    <row r="264" spans="1:25" x14ac:dyDescent="0.7">
      <c r="A264" t="s">
        <v>56</v>
      </c>
      <c r="B264" s="3">
        <v>0.65240740740740744</v>
      </c>
      <c r="C264" t="s">
        <v>57</v>
      </c>
      <c r="D264" s="2">
        <v>37.632930000000002</v>
      </c>
      <c r="E264" t="s">
        <v>58</v>
      </c>
      <c r="F264" s="2">
        <v>141.01337999999998</v>
      </c>
      <c r="G264" t="s">
        <v>59</v>
      </c>
      <c r="H264" s="4">
        <v>0.37040000000000006</v>
      </c>
      <c r="I264" s="5">
        <v>102.2</v>
      </c>
      <c r="J264">
        <v>170220</v>
      </c>
      <c r="M264" t="s">
        <v>57</v>
      </c>
      <c r="N264" t="s">
        <v>84</v>
      </c>
      <c r="O264" s="2">
        <v>-4.1666666490414173E-6</v>
      </c>
      <c r="P264" s="2">
        <v>-3.33333360913457E-7</v>
      </c>
      <c r="Q264" s="2">
        <v>-0.47520823776721954</v>
      </c>
      <c r="R264" s="2">
        <v>-0.13440918607627972</v>
      </c>
      <c r="S264" s="2">
        <v>0.47520823776721954</v>
      </c>
      <c r="T264" s="5">
        <f t="shared" ref="T264:V264" si="524">IFERROR(MROUND(Q264,0.2),-MROUND(ABS(Q264),0.2))</f>
        <v>-0.4</v>
      </c>
      <c r="U264" s="5">
        <f t="shared" si="524"/>
        <v>-0.2</v>
      </c>
      <c r="V264" s="5">
        <f t="shared" si="524"/>
        <v>0.4</v>
      </c>
      <c r="W264" s="2">
        <f t="shared" ref="W264:Y264" si="525">Q264^2</f>
        <v>0.22582286924182626</v>
      </c>
      <c r="X264" s="2">
        <f t="shared" si="525"/>
        <v>1.8065829301687986E-2</v>
      </c>
      <c r="Y264" s="2">
        <f t="shared" si="525"/>
        <v>0.22582286924182626</v>
      </c>
    </row>
    <row r="265" spans="1:25" x14ac:dyDescent="0.7">
      <c r="A265" t="s">
        <v>56</v>
      </c>
      <c r="B265" s="3">
        <v>0.65241898148148147</v>
      </c>
      <c r="C265" t="s">
        <v>57</v>
      </c>
      <c r="D265" s="2">
        <v>37.632934999999996</v>
      </c>
      <c r="E265" t="s">
        <v>58</v>
      </c>
      <c r="F265" s="2">
        <v>141.01337833333335</v>
      </c>
      <c r="G265" t="s">
        <v>59</v>
      </c>
      <c r="H265" s="4">
        <v>0</v>
      </c>
      <c r="I265" s="5">
        <v>102.2</v>
      </c>
      <c r="J265">
        <v>170220</v>
      </c>
      <c r="M265" t="s">
        <v>57</v>
      </c>
      <c r="N265" t="s">
        <v>76</v>
      </c>
      <c r="O265" s="2">
        <v>8.3333334544022364E-7</v>
      </c>
      <c r="P265" s="2">
        <v>-1.9999999949504854E-6</v>
      </c>
      <c r="Q265" s="2">
        <v>0.13440918607627972</v>
      </c>
      <c r="R265" s="2">
        <v>-0.21251958491087164</v>
      </c>
      <c r="S265" s="2">
        <v>0.21251958491087164</v>
      </c>
      <c r="T265" s="5">
        <f t="shared" ref="T265:V265" si="526">IFERROR(MROUND(Q265,0.2),-MROUND(ABS(Q265),0.2))</f>
        <v>0.2</v>
      </c>
      <c r="U265" s="5">
        <f t="shared" si="526"/>
        <v>-0.2</v>
      </c>
      <c r="V265" s="5">
        <f t="shared" si="526"/>
        <v>0.2</v>
      </c>
      <c r="W265" s="2">
        <f t="shared" ref="W265:Y265" si="527">Q265^2</f>
        <v>1.8065829301687986E-2</v>
      </c>
      <c r="X265" s="2">
        <f t="shared" si="527"/>
        <v>4.5164573970689181E-2</v>
      </c>
      <c r="Y265" s="2">
        <f t="shared" si="527"/>
        <v>4.5164573970689181E-2</v>
      </c>
    </row>
    <row r="266" spans="1:25" x14ac:dyDescent="0.7">
      <c r="A266" t="s">
        <v>56</v>
      </c>
      <c r="B266" s="3">
        <v>0.65243055555555551</v>
      </c>
      <c r="C266" t="s">
        <v>57</v>
      </c>
      <c r="D266" s="2">
        <v>37.632936666666666</v>
      </c>
      <c r="E266" t="s">
        <v>58</v>
      </c>
      <c r="F266" s="2">
        <v>141.01337666666669</v>
      </c>
      <c r="G266" t="s">
        <v>59</v>
      </c>
      <c r="H266" s="4">
        <v>0</v>
      </c>
      <c r="I266" s="5">
        <v>102.2</v>
      </c>
      <c r="J266">
        <v>170220</v>
      </c>
      <c r="M266" t="s">
        <v>57</v>
      </c>
      <c r="N266" t="s">
        <v>80</v>
      </c>
      <c r="O266" s="2">
        <v>2.5000000150043888E-6</v>
      </c>
      <c r="P266" s="2">
        <v>-3.6666666574092233E-6</v>
      </c>
      <c r="Q266" s="2">
        <v>0.28512494266033173</v>
      </c>
      <c r="R266" s="2">
        <v>-0.34267753328923733</v>
      </c>
      <c r="S266" s="2">
        <v>0.4355355439701365</v>
      </c>
      <c r="T266" s="5">
        <f t="shared" ref="T266:V266" si="528">IFERROR(MROUND(Q266,0.2),-MROUND(ABS(Q266),0.2))</f>
        <v>0.2</v>
      </c>
      <c r="U266" s="5">
        <f t="shared" si="528"/>
        <v>-0.4</v>
      </c>
      <c r="V266" s="5">
        <f t="shared" si="528"/>
        <v>0.4</v>
      </c>
      <c r="W266" s="2">
        <f t="shared" ref="W266:Y266" si="529">Q266^2</f>
        <v>8.1296232927057455E-2</v>
      </c>
      <c r="X266" s="2">
        <f t="shared" si="529"/>
        <v>0.11742789182119637</v>
      </c>
      <c r="Y266" s="2">
        <f t="shared" si="529"/>
        <v>0.18969121006136269</v>
      </c>
    </row>
    <row r="267" spans="1:25" x14ac:dyDescent="0.7">
      <c r="A267" t="s">
        <v>56</v>
      </c>
      <c r="B267" s="3">
        <v>0.65246527777777774</v>
      </c>
      <c r="C267" t="s">
        <v>57</v>
      </c>
      <c r="D267" s="2">
        <v>37.632934999999996</v>
      </c>
      <c r="E267" t="s">
        <v>58</v>
      </c>
      <c r="F267" s="2">
        <v>141.01337666666669</v>
      </c>
      <c r="G267" t="s">
        <v>59</v>
      </c>
      <c r="H267" s="4">
        <v>0</v>
      </c>
      <c r="I267" s="5">
        <v>102.2</v>
      </c>
      <c r="J267">
        <v>170220</v>
      </c>
      <c r="M267" t="s">
        <v>57</v>
      </c>
      <c r="N267" t="s">
        <v>80</v>
      </c>
      <c r="O267" s="2">
        <v>8.3333334544022364E-7</v>
      </c>
      <c r="P267" s="2">
        <v>-3.6666666574092233E-6</v>
      </c>
      <c r="Q267" s="2">
        <v>0.13440918607627972</v>
      </c>
      <c r="R267" s="2">
        <v>-0.34267753328923733</v>
      </c>
      <c r="S267" s="2">
        <v>0.34267753328923733</v>
      </c>
      <c r="T267" s="5">
        <f t="shared" ref="T267:V267" si="530">IFERROR(MROUND(Q267,0.2),-MROUND(ABS(Q267),0.2))</f>
        <v>0.2</v>
      </c>
      <c r="U267" s="5">
        <f t="shared" si="530"/>
        <v>-0.4</v>
      </c>
      <c r="V267" s="5">
        <f t="shared" si="530"/>
        <v>0.4</v>
      </c>
      <c r="W267" s="2">
        <f t="shared" ref="W267:Y267" si="531">Q267^2</f>
        <v>1.8065829301687986E-2</v>
      </c>
      <c r="X267" s="2">
        <f t="shared" si="531"/>
        <v>0.11742789182119637</v>
      </c>
      <c r="Y267" s="2">
        <f t="shared" si="531"/>
        <v>0.11742789182119637</v>
      </c>
    </row>
    <row r="268" spans="1:25" x14ac:dyDescent="0.7">
      <c r="A268" t="s">
        <v>56</v>
      </c>
      <c r="B268" s="3">
        <v>0.65247685185185189</v>
      </c>
      <c r="C268" t="s">
        <v>57</v>
      </c>
      <c r="D268" s="2">
        <v>37.632933333333334</v>
      </c>
      <c r="E268" t="s">
        <v>58</v>
      </c>
      <c r="F268" s="2">
        <v>141.013375</v>
      </c>
      <c r="G268" t="s">
        <v>59</v>
      </c>
      <c r="H268" s="4">
        <v>0</v>
      </c>
      <c r="I268" s="5">
        <v>102.2</v>
      </c>
      <c r="J268">
        <v>170220</v>
      </c>
      <c r="M268" t="s">
        <v>57</v>
      </c>
      <c r="N268" t="s">
        <v>82</v>
      </c>
      <c r="O268" s="2">
        <v>-8.3333331701851421E-7</v>
      </c>
      <c r="P268" s="2">
        <v>-5.3333333482896705E-6</v>
      </c>
      <c r="Q268" s="2">
        <v>-0.13440918607627972</v>
      </c>
      <c r="R268" s="2">
        <v>-0.48461921537840325</v>
      </c>
      <c r="S268" s="2">
        <v>0.48461921537840325</v>
      </c>
      <c r="T268" s="5">
        <f t="shared" ref="T268:V268" si="532">IFERROR(MROUND(Q268,0.2),-MROUND(ABS(Q268),0.2))</f>
        <v>-0.2</v>
      </c>
      <c r="U268" s="5">
        <f t="shared" si="532"/>
        <v>-0.4</v>
      </c>
      <c r="V268" s="5">
        <f t="shared" si="532"/>
        <v>0.4</v>
      </c>
      <c r="W268" s="2">
        <f t="shared" ref="W268:Y268" si="533">Q268^2</f>
        <v>1.8065829301687986E-2</v>
      </c>
      <c r="X268" s="2">
        <f t="shared" si="533"/>
        <v>0.23485578391397918</v>
      </c>
      <c r="Y268" s="2">
        <f t="shared" si="533"/>
        <v>0.23485578391397918</v>
      </c>
    </row>
    <row r="269" spans="1:25" x14ac:dyDescent="0.7">
      <c r="A269" t="s">
        <v>56</v>
      </c>
      <c r="B269" s="3">
        <v>0.65248842592592593</v>
      </c>
      <c r="C269" t="s">
        <v>57</v>
      </c>
      <c r="D269" s="2">
        <v>37.632934999999996</v>
      </c>
      <c r="E269" t="s">
        <v>58</v>
      </c>
      <c r="F269" s="2">
        <v>141.01337666666669</v>
      </c>
      <c r="G269" t="s">
        <v>59</v>
      </c>
      <c r="H269" s="4">
        <v>0</v>
      </c>
      <c r="I269" s="5">
        <v>102.2</v>
      </c>
      <c r="J269">
        <v>170220</v>
      </c>
      <c r="M269" t="s">
        <v>57</v>
      </c>
      <c r="N269" t="s">
        <v>73</v>
      </c>
      <c r="O269" s="2">
        <v>8.3333334544022364E-7</v>
      </c>
      <c r="P269" s="2">
        <v>-3.6666666574092233E-6</v>
      </c>
      <c r="Q269" s="2">
        <v>0.13440918607627972</v>
      </c>
      <c r="R269" s="2">
        <v>-0.34267753328923733</v>
      </c>
      <c r="S269" s="2">
        <v>0.34267753328923733</v>
      </c>
      <c r="T269" s="5">
        <f t="shared" ref="T269:V269" si="534">IFERROR(MROUND(Q269,0.2),-MROUND(ABS(Q269),0.2))</f>
        <v>0.2</v>
      </c>
      <c r="U269" s="5">
        <f t="shared" si="534"/>
        <v>-0.4</v>
      </c>
      <c r="V269" s="5">
        <f t="shared" si="534"/>
        <v>0.4</v>
      </c>
      <c r="W269" s="2">
        <f t="shared" ref="W269:Y269" si="535">Q269^2</f>
        <v>1.8065829301687986E-2</v>
      </c>
      <c r="X269" s="2">
        <f t="shared" si="535"/>
        <v>0.11742789182119637</v>
      </c>
      <c r="Y269" s="2">
        <f t="shared" si="535"/>
        <v>0.11742789182119637</v>
      </c>
    </row>
    <row r="270" spans="1:25" x14ac:dyDescent="0.7">
      <c r="A270" t="s">
        <v>56</v>
      </c>
      <c r="B270" s="3">
        <v>0.65249999999999997</v>
      </c>
      <c r="C270" t="s">
        <v>57</v>
      </c>
      <c r="D270" s="2">
        <v>37.632936666666666</v>
      </c>
      <c r="E270" t="s">
        <v>58</v>
      </c>
      <c r="F270" s="2">
        <v>141.01337833333335</v>
      </c>
      <c r="G270" t="s">
        <v>59</v>
      </c>
      <c r="H270" s="4">
        <v>0</v>
      </c>
      <c r="I270" s="5">
        <v>102.2</v>
      </c>
      <c r="J270">
        <v>170220</v>
      </c>
      <c r="M270" t="s">
        <v>57</v>
      </c>
      <c r="N270" t="s">
        <v>86</v>
      </c>
      <c r="O270" s="2">
        <v>2.5000000150043888E-6</v>
      </c>
      <c r="P270" s="2">
        <v>-1.9999999949504854E-6</v>
      </c>
      <c r="Q270" s="2">
        <v>0.28512494266033173</v>
      </c>
      <c r="R270" s="2">
        <v>-0.21251958491087164</v>
      </c>
      <c r="S270" s="2">
        <v>0.32923392455099521</v>
      </c>
      <c r="T270" s="5">
        <f t="shared" ref="T270:V270" si="536">IFERROR(MROUND(Q270,0.2),-MROUND(ABS(Q270),0.2))</f>
        <v>0.2</v>
      </c>
      <c r="U270" s="5">
        <f t="shared" si="536"/>
        <v>-0.2</v>
      </c>
      <c r="V270" s="5">
        <f t="shared" si="536"/>
        <v>0.4</v>
      </c>
      <c r="W270" s="2">
        <f t="shared" ref="W270:Y270" si="537">Q270^2</f>
        <v>8.1296232927057455E-2</v>
      </c>
      <c r="X270" s="2">
        <f t="shared" si="537"/>
        <v>4.5164573970689181E-2</v>
      </c>
      <c r="Y270" s="2">
        <f t="shared" si="537"/>
        <v>0.10839497707525041</v>
      </c>
    </row>
    <row r="271" spans="1:25" x14ac:dyDescent="0.7">
      <c r="A271" t="s">
        <v>56</v>
      </c>
      <c r="B271" s="3">
        <v>0.65251157407407401</v>
      </c>
      <c r="C271" t="s">
        <v>57</v>
      </c>
      <c r="D271" s="2">
        <v>37.632936666666666</v>
      </c>
      <c r="E271" t="s">
        <v>58</v>
      </c>
      <c r="F271" s="2">
        <v>141.01337833333335</v>
      </c>
      <c r="G271" t="s">
        <v>59</v>
      </c>
      <c r="H271" s="4">
        <v>0</v>
      </c>
      <c r="I271" s="5">
        <v>102.2</v>
      </c>
      <c r="J271">
        <v>170220</v>
      </c>
      <c r="M271" t="s">
        <v>57</v>
      </c>
      <c r="N271" t="s">
        <v>73</v>
      </c>
      <c r="O271" s="2">
        <v>2.5000000150043888E-6</v>
      </c>
      <c r="P271" s="2">
        <v>-1.9999999949504854E-6</v>
      </c>
      <c r="Q271" s="2">
        <v>0.28512494266033173</v>
      </c>
      <c r="R271" s="2">
        <v>-0.21251958491087164</v>
      </c>
      <c r="S271" s="2">
        <v>0.32923392455099521</v>
      </c>
      <c r="T271" s="5">
        <f t="shared" ref="T271:V271" si="538">IFERROR(MROUND(Q271,0.2),-MROUND(ABS(Q271),0.2))</f>
        <v>0.2</v>
      </c>
      <c r="U271" s="5">
        <f t="shared" si="538"/>
        <v>-0.2</v>
      </c>
      <c r="V271" s="5">
        <f t="shared" si="538"/>
        <v>0.4</v>
      </c>
      <c r="W271" s="2">
        <f t="shared" ref="W271:Y271" si="539">Q271^2</f>
        <v>8.1296232927057455E-2</v>
      </c>
      <c r="X271" s="2">
        <f t="shared" si="539"/>
        <v>4.5164573970689181E-2</v>
      </c>
      <c r="Y271" s="2">
        <f t="shared" si="539"/>
        <v>0.10839497707525041</v>
      </c>
    </row>
    <row r="272" spans="1:25" x14ac:dyDescent="0.7">
      <c r="A272" t="s">
        <v>56</v>
      </c>
      <c r="B272" s="3">
        <v>0.65252314814814816</v>
      </c>
      <c r="C272" t="s">
        <v>57</v>
      </c>
      <c r="D272" s="2">
        <v>37.632934999999996</v>
      </c>
      <c r="E272" t="s">
        <v>58</v>
      </c>
      <c r="F272" s="2">
        <v>141.01337833333335</v>
      </c>
      <c r="G272" t="s">
        <v>59</v>
      </c>
      <c r="H272" s="4">
        <v>0</v>
      </c>
      <c r="I272" s="5">
        <v>102.2</v>
      </c>
      <c r="J272">
        <v>170220</v>
      </c>
      <c r="M272" t="s">
        <v>57</v>
      </c>
      <c r="N272" t="s">
        <v>76</v>
      </c>
      <c r="O272" s="2">
        <v>8.3333334544022364E-7</v>
      </c>
      <c r="P272" s="2">
        <v>-1.9999999949504854E-6</v>
      </c>
      <c r="Q272" s="2">
        <v>0.13440918607627972</v>
      </c>
      <c r="R272" s="2">
        <v>-0.21251958491087164</v>
      </c>
      <c r="S272" s="2">
        <v>0.21251958491087164</v>
      </c>
      <c r="T272" s="5">
        <f t="shared" ref="T272:V272" si="540">IFERROR(MROUND(Q272,0.2),-MROUND(ABS(Q272),0.2))</f>
        <v>0.2</v>
      </c>
      <c r="U272" s="5">
        <f t="shared" si="540"/>
        <v>-0.2</v>
      </c>
      <c r="V272" s="5">
        <f t="shared" si="540"/>
        <v>0.2</v>
      </c>
      <c r="W272" s="2">
        <f t="shared" ref="W272:Y272" si="541">Q272^2</f>
        <v>1.8065829301687986E-2</v>
      </c>
      <c r="X272" s="2">
        <f t="shared" si="541"/>
        <v>4.5164573970689181E-2</v>
      </c>
      <c r="Y272" s="2">
        <f t="shared" si="541"/>
        <v>4.5164573970689181E-2</v>
      </c>
    </row>
    <row r="273" spans="1:25" x14ac:dyDescent="0.7">
      <c r="A273" t="s">
        <v>56</v>
      </c>
      <c r="B273" s="3">
        <v>0.6525347222222222</v>
      </c>
      <c r="C273" t="s">
        <v>57</v>
      </c>
      <c r="D273" s="2">
        <v>37.632931666666664</v>
      </c>
      <c r="E273" t="s">
        <v>58</v>
      </c>
      <c r="F273" s="2">
        <v>141.01337666666669</v>
      </c>
      <c r="G273" t="s">
        <v>59</v>
      </c>
      <c r="H273" s="4">
        <v>0.37040000000000006</v>
      </c>
      <c r="I273" s="5">
        <v>102.2</v>
      </c>
      <c r="J273">
        <v>170220</v>
      </c>
      <c r="M273" t="s">
        <v>57</v>
      </c>
      <c r="N273" t="s">
        <v>72</v>
      </c>
      <c r="O273" s="2">
        <v>-2.4999999865826794E-6</v>
      </c>
      <c r="P273" s="2">
        <v>-3.6666666574092233E-6</v>
      </c>
      <c r="Q273" s="2">
        <v>-0.30054807823986107</v>
      </c>
      <c r="R273" s="2">
        <v>-0.34267753328923733</v>
      </c>
      <c r="S273" s="2">
        <v>0.4355355439701365</v>
      </c>
      <c r="T273" s="5">
        <f t="shared" ref="T273:V273" si="542">IFERROR(MROUND(Q273,0.2),-MROUND(ABS(Q273),0.2))</f>
        <v>-0.4</v>
      </c>
      <c r="U273" s="5">
        <f t="shared" si="542"/>
        <v>-0.4</v>
      </c>
      <c r="V273" s="5">
        <f t="shared" si="542"/>
        <v>0.4</v>
      </c>
      <c r="W273" s="2">
        <f t="shared" ref="W273:Y273" si="543">Q273^2</f>
        <v>9.0329147333673657E-2</v>
      </c>
      <c r="X273" s="2">
        <f t="shared" si="543"/>
        <v>0.11742789182119637</v>
      </c>
      <c r="Y273" s="2">
        <f t="shared" si="543"/>
        <v>0.18969121006136269</v>
      </c>
    </row>
    <row r="274" spans="1:25" x14ac:dyDescent="0.7">
      <c r="A274" t="s">
        <v>56</v>
      </c>
      <c r="B274" s="3">
        <v>0.65254629629629635</v>
      </c>
      <c r="C274" t="s">
        <v>57</v>
      </c>
      <c r="D274" s="2">
        <v>37.632931666666664</v>
      </c>
      <c r="E274" t="s">
        <v>58</v>
      </c>
      <c r="F274" s="2">
        <v>141.01337666666669</v>
      </c>
      <c r="G274" t="s">
        <v>59</v>
      </c>
      <c r="H274" s="4">
        <v>0</v>
      </c>
      <c r="I274" s="5">
        <v>102.2</v>
      </c>
      <c r="J274">
        <v>170220</v>
      </c>
      <c r="M274" t="s">
        <v>57</v>
      </c>
      <c r="N274" t="s">
        <v>79</v>
      </c>
      <c r="O274" s="2">
        <v>-2.4999999865826794E-6</v>
      </c>
      <c r="P274" s="2">
        <v>-3.6666666574092233E-6</v>
      </c>
      <c r="Q274" s="2">
        <v>-0.30054807823986107</v>
      </c>
      <c r="R274" s="2">
        <v>-0.34267753328923733</v>
      </c>
      <c r="S274" s="2">
        <v>0.4355355439701365</v>
      </c>
      <c r="T274" s="5">
        <f t="shared" ref="T274:V274" si="544">IFERROR(MROUND(Q274,0.2),-MROUND(ABS(Q274),0.2))</f>
        <v>-0.4</v>
      </c>
      <c r="U274" s="5">
        <f t="shared" si="544"/>
        <v>-0.4</v>
      </c>
      <c r="V274" s="5">
        <f t="shared" si="544"/>
        <v>0.4</v>
      </c>
      <c r="W274" s="2">
        <f t="shared" ref="W274:Y274" si="545">Q274^2</f>
        <v>9.0329147333673657E-2</v>
      </c>
      <c r="X274" s="2">
        <f t="shared" si="545"/>
        <v>0.11742789182119637</v>
      </c>
      <c r="Y274" s="2">
        <f t="shared" si="545"/>
        <v>0.18969121006136269</v>
      </c>
    </row>
    <row r="275" spans="1:25" x14ac:dyDescent="0.7">
      <c r="A275" t="s">
        <v>56</v>
      </c>
      <c r="B275" s="3">
        <v>0.65255787037037039</v>
      </c>
      <c r="C275" t="s">
        <v>57</v>
      </c>
      <c r="D275" s="2">
        <v>37.632933333333334</v>
      </c>
      <c r="E275" t="s">
        <v>58</v>
      </c>
      <c r="F275" s="2">
        <v>141.013375</v>
      </c>
      <c r="G275" t="s">
        <v>59</v>
      </c>
      <c r="H275" s="4">
        <v>0.18520000000000003</v>
      </c>
      <c r="I275" s="5">
        <v>102.2</v>
      </c>
      <c r="J275">
        <v>170220</v>
      </c>
      <c r="M275" t="s">
        <v>57</v>
      </c>
      <c r="N275" t="s">
        <v>73</v>
      </c>
      <c r="O275" s="2">
        <v>-8.3333331701851421E-7</v>
      </c>
      <c r="P275" s="2">
        <v>-5.3333333482896705E-6</v>
      </c>
      <c r="Q275" s="2">
        <v>-0.13440918607627972</v>
      </c>
      <c r="R275" s="2">
        <v>-0.48461921537840325</v>
      </c>
      <c r="S275" s="2">
        <v>0.48461921537840325</v>
      </c>
      <c r="T275" s="5">
        <f t="shared" ref="T275:V275" si="546">IFERROR(MROUND(Q275,0.2),-MROUND(ABS(Q275),0.2))</f>
        <v>-0.2</v>
      </c>
      <c r="U275" s="5">
        <f t="shared" si="546"/>
        <v>-0.4</v>
      </c>
      <c r="V275" s="5">
        <f t="shared" si="546"/>
        <v>0.4</v>
      </c>
      <c r="W275" s="2">
        <f t="shared" ref="W275:Y275" si="547">Q275^2</f>
        <v>1.8065829301687986E-2</v>
      </c>
      <c r="X275" s="2">
        <f t="shared" si="547"/>
        <v>0.23485578391397918</v>
      </c>
      <c r="Y275" s="2">
        <f t="shared" si="547"/>
        <v>0.23485578391397918</v>
      </c>
    </row>
    <row r="276" spans="1:25" x14ac:dyDescent="0.7">
      <c r="A276" t="s">
        <v>56</v>
      </c>
      <c r="B276" s="3">
        <v>0.65259259259259261</v>
      </c>
      <c r="C276" t="s">
        <v>57</v>
      </c>
      <c r="D276" s="2">
        <v>37.632936666666666</v>
      </c>
      <c r="E276" t="s">
        <v>58</v>
      </c>
      <c r="F276" s="2">
        <v>141.01337833333335</v>
      </c>
      <c r="G276" t="s">
        <v>59</v>
      </c>
      <c r="H276" s="4">
        <v>0</v>
      </c>
      <c r="I276" s="5">
        <v>102.2</v>
      </c>
      <c r="J276">
        <v>170220</v>
      </c>
      <c r="M276" t="s">
        <v>57</v>
      </c>
      <c r="N276" t="s">
        <v>83</v>
      </c>
      <c r="O276" s="2">
        <v>2.5000000150043888E-6</v>
      </c>
      <c r="P276" s="2">
        <v>-1.9999999949504854E-6</v>
      </c>
      <c r="Q276" s="2">
        <v>0.28512494266033173</v>
      </c>
      <c r="R276" s="2">
        <v>-0.21251958491087164</v>
      </c>
      <c r="S276" s="2">
        <v>0.32923392455099521</v>
      </c>
      <c r="T276" s="5">
        <f t="shared" ref="T276:V276" si="548">IFERROR(MROUND(Q276,0.2),-MROUND(ABS(Q276),0.2))</f>
        <v>0.2</v>
      </c>
      <c r="U276" s="5">
        <f t="shared" si="548"/>
        <v>-0.2</v>
      </c>
      <c r="V276" s="5">
        <f t="shared" si="548"/>
        <v>0.4</v>
      </c>
      <c r="W276" s="2">
        <f t="shared" ref="W276:Y276" si="549">Q276^2</f>
        <v>8.1296232927057455E-2</v>
      </c>
      <c r="X276" s="2">
        <f t="shared" si="549"/>
        <v>4.5164573970689181E-2</v>
      </c>
      <c r="Y276" s="2">
        <f t="shared" si="549"/>
        <v>0.10839497707525041</v>
      </c>
    </row>
    <row r="277" spans="1:25" x14ac:dyDescent="0.7">
      <c r="A277" t="s">
        <v>56</v>
      </c>
      <c r="B277" s="3">
        <v>0.65260416666666665</v>
      </c>
      <c r="C277" t="s">
        <v>57</v>
      </c>
      <c r="D277" s="2">
        <v>37.632939999999998</v>
      </c>
      <c r="E277" t="s">
        <v>58</v>
      </c>
      <c r="F277" s="2">
        <v>141.01337999999998</v>
      </c>
      <c r="G277" t="s">
        <v>59</v>
      </c>
      <c r="H277" s="4">
        <v>0.18520000000000003</v>
      </c>
      <c r="I277" s="5">
        <v>102.2</v>
      </c>
      <c r="J277">
        <v>170220</v>
      </c>
      <c r="M277" t="s">
        <v>57</v>
      </c>
      <c r="N277" t="s">
        <v>75</v>
      </c>
      <c r="O277" s="2">
        <v>5.8333333470272919E-6</v>
      </c>
      <c r="P277" s="2">
        <v>-3.33333360913457E-7</v>
      </c>
      <c r="Q277" s="2">
        <v>0.65157270798306222</v>
      </c>
      <c r="R277" s="2">
        <v>-0.13440918607627972</v>
      </c>
      <c r="S277" s="2">
        <v>0.65157270798306222</v>
      </c>
      <c r="T277" s="5">
        <f t="shared" ref="T277:V277" si="550">IFERROR(MROUND(Q277,0.2),-MROUND(ABS(Q277),0.2))</f>
        <v>0.60000000000000009</v>
      </c>
      <c r="U277" s="5">
        <f t="shared" si="550"/>
        <v>-0.2</v>
      </c>
      <c r="V277" s="5">
        <f t="shared" si="550"/>
        <v>0.60000000000000009</v>
      </c>
      <c r="W277" s="2">
        <f t="shared" ref="W277:Y277" si="551">Q277^2</f>
        <v>0.42454699378838084</v>
      </c>
      <c r="X277" s="2">
        <f t="shared" si="551"/>
        <v>1.8065829301687986E-2</v>
      </c>
      <c r="Y277" s="2">
        <f t="shared" si="551"/>
        <v>0.42454699378838084</v>
      </c>
    </row>
    <row r="278" spans="1:25" x14ac:dyDescent="0.7">
      <c r="A278" t="s">
        <v>56</v>
      </c>
      <c r="B278" s="3">
        <v>0.6526157407407408</v>
      </c>
      <c r="C278" t="s">
        <v>57</v>
      </c>
      <c r="D278" s="2">
        <v>37.632941666666667</v>
      </c>
      <c r="E278" t="s">
        <v>58</v>
      </c>
      <c r="F278" s="2">
        <v>141.01337999999998</v>
      </c>
      <c r="G278" t="s">
        <v>59</v>
      </c>
      <c r="H278" s="4">
        <v>0</v>
      </c>
      <c r="I278" s="5">
        <v>102.2</v>
      </c>
      <c r="J278">
        <v>170220</v>
      </c>
      <c r="M278" t="s">
        <v>57</v>
      </c>
      <c r="N278" t="s">
        <v>77</v>
      </c>
      <c r="O278" s="2">
        <v>7.5000000165914571E-6</v>
      </c>
      <c r="P278" s="2">
        <v>-3.33333360913457E-7</v>
      </c>
      <c r="Q278" s="2">
        <v>0.83938510373363484</v>
      </c>
      <c r="R278" s="2">
        <v>-0.13440918607627972</v>
      </c>
      <c r="S278" s="2">
        <v>0.83938510373363484</v>
      </c>
      <c r="T278" s="5">
        <f t="shared" ref="T278:V278" si="552">IFERROR(MROUND(Q278,0.2),-MROUND(ABS(Q278),0.2))</f>
        <v>0.8</v>
      </c>
      <c r="U278" s="5">
        <f t="shared" si="552"/>
        <v>-0.2</v>
      </c>
      <c r="V278" s="5">
        <f t="shared" si="552"/>
        <v>0.8</v>
      </c>
      <c r="W278" s="2">
        <f t="shared" ref="W278:Y278" si="553">Q278^2</f>
        <v>0.70456735236992496</v>
      </c>
      <c r="X278" s="2">
        <f t="shared" si="553"/>
        <v>1.8065829301687986E-2</v>
      </c>
      <c r="Y278" s="2">
        <f t="shared" si="553"/>
        <v>0.70456735236992496</v>
      </c>
    </row>
    <row r="279" spans="1:25" x14ac:dyDescent="0.7">
      <c r="A279" t="s">
        <v>56</v>
      </c>
      <c r="B279" s="3">
        <v>0.65263888888888888</v>
      </c>
      <c r="C279" t="s">
        <v>57</v>
      </c>
      <c r="D279" s="2">
        <v>37.63294333333333</v>
      </c>
      <c r="E279" t="s">
        <v>58</v>
      </c>
      <c r="F279" s="2">
        <v>141.01338333333334</v>
      </c>
      <c r="G279" t="s">
        <v>59</v>
      </c>
      <c r="H279" s="4">
        <v>0</v>
      </c>
      <c r="I279" s="5">
        <v>102.2</v>
      </c>
      <c r="J279">
        <v>170220</v>
      </c>
      <c r="M279" t="s">
        <v>57</v>
      </c>
      <c r="N279" t="s">
        <v>84</v>
      </c>
      <c r="O279" s="2">
        <v>9.1666666790501949E-6</v>
      </c>
      <c r="P279" s="2">
        <v>2.9999999924257281E-6</v>
      </c>
      <c r="Q279" s="2">
        <v>1.0236298707817826</v>
      </c>
      <c r="R279" s="2">
        <v>0.28512494266033173</v>
      </c>
      <c r="S279" s="2">
        <v>1.0583389967226011</v>
      </c>
      <c r="T279" s="5">
        <f t="shared" ref="T279:V279" si="554">IFERROR(MROUND(Q279,0.2),-MROUND(ABS(Q279),0.2))</f>
        <v>1</v>
      </c>
      <c r="U279" s="5">
        <f t="shared" si="554"/>
        <v>0.2</v>
      </c>
      <c r="V279" s="5">
        <f t="shared" si="554"/>
        <v>1</v>
      </c>
      <c r="W279" s="2">
        <f t="shared" ref="W279:Y279" si="555">Q279^2</f>
        <v>1.0478181123567289</v>
      </c>
      <c r="X279" s="2">
        <f t="shared" si="555"/>
        <v>8.1296232927057455E-2</v>
      </c>
      <c r="Y279" s="2">
        <f t="shared" si="555"/>
        <v>1.1200814319838019</v>
      </c>
    </row>
    <row r="280" spans="1:25" x14ac:dyDescent="0.7">
      <c r="A280" t="s">
        <v>56</v>
      </c>
      <c r="B280" s="3">
        <v>0.65329861111111109</v>
      </c>
      <c r="C280" t="s">
        <v>57</v>
      </c>
      <c r="D280" s="2">
        <v>37.632951666666671</v>
      </c>
      <c r="E280" t="s">
        <v>58</v>
      </c>
      <c r="F280" s="2">
        <v>141.01343833333334</v>
      </c>
      <c r="G280" t="s">
        <v>59</v>
      </c>
      <c r="H280" s="4">
        <v>0</v>
      </c>
      <c r="I280" s="5">
        <v>86.2</v>
      </c>
      <c r="J280">
        <v>170220</v>
      </c>
      <c r="M280" t="s">
        <v>57</v>
      </c>
      <c r="N280" t="s">
        <v>61</v>
      </c>
      <c r="O280" s="2">
        <v>8.1250000008026291E-6</v>
      </c>
      <c r="P280" s="2">
        <v>6.31944439533072E-6</v>
      </c>
      <c r="Q280" s="2">
        <v>0.9066395332293935</v>
      </c>
      <c r="R280" s="2">
        <v>0.56227396882598613</v>
      </c>
      <c r="S280" s="2">
        <v>1.0625979231381273</v>
      </c>
      <c r="T280" s="5">
        <f t="shared" ref="T280:V280" si="556">IFERROR(MROUND(Q280,0.2),-MROUND(ABS(Q280),0.2))</f>
        <v>1</v>
      </c>
      <c r="U280" s="5">
        <f t="shared" si="556"/>
        <v>0.60000000000000009</v>
      </c>
      <c r="V280" s="5">
        <f t="shared" si="556"/>
        <v>1</v>
      </c>
      <c r="W280" s="2">
        <f t="shared" ref="W280:Y280" si="557">Q280^2</f>
        <v>0.82199524321441253</v>
      </c>
      <c r="X280" s="2">
        <f t="shared" si="557"/>
        <v>0.31615201601932602</v>
      </c>
      <c r="Y280" s="2">
        <f t="shared" si="557"/>
        <v>1.1291143462574615</v>
      </c>
    </row>
    <row r="281" spans="1:25" x14ac:dyDescent="0.7">
      <c r="A281" t="s">
        <v>56</v>
      </c>
      <c r="B281" s="3">
        <v>0.65331018518518513</v>
      </c>
      <c r="C281" t="s">
        <v>57</v>
      </c>
      <c r="D281" s="2">
        <v>37.632948333333339</v>
      </c>
      <c r="E281" t="s">
        <v>58</v>
      </c>
      <c r="F281" s="2">
        <v>141.01343833333334</v>
      </c>
      <c r="G281" t="s">
        <v>59</v>
      </c>
      <c r="H281" s="4">
        <v>0</v>
      </c>
      <c r="I281" s="5">
        <v>86.2</v>
      </c>
      <c r="J281">
        <v>170220</v>
      </c>
      <c r="M281" t="s">
        <v>57</v>
      </c>
      <c r="N281" t="s">
        <v>90</v>
      </c>
      <c r="O281" s="2">
        <v>4.791666668779726E-6</v>
      </c>
      <c r="P281" s="2">
        <v>6.31944439533072E-6</v>
      </c>
      <c r="Q281" s="2">
        <v>0.5376367471375807</v>
      </c>
      <c r="R281" s="2">
        <v>0.56227396882598613</v>
      </c>
      <c r="S281" s="2">
        <v>0.77212199415862681</v>
      </c>
      <c r="T281" s="5">
        <f t="shared" ref="T281:V281" si="558">IFERROR(MROUND(Q281,0.2),-MROUND(ABS(Q281),0.2))</f>
        <v>0.60000000000000009</v>
      </c>
      <c r="U281" s="5">
        <f t="shared" si="558"/>
        <v>0.60000000000000009</v>
      </c>
      <c r="V281" s="5">
        <f t="shared" si="558"/>
        <v>0.8</v>
      </c>
      <c r="W281" s="2">
        <f t="shared" ref="W281:Y281" si="559">Q281^2</f>
        <v>0.28905327187267887</v>
      </c>
      <c r="X281" s="2">
        <f t="shared" si="559"/>
        <v>0.31615201601932602</v>
      </c>
      <c r="Y281" s="2">
        <f t="shared" si="559"/>
        <v>0.59617237386349453</v>
      </c>
    </row>
    <row r="282" spans="1:25" x14ac:dyDescent="0.7">
      <c r="A282" t="s">
        <v>56</v>
      </c>
      <c r="B282" s="3">
        <v>0.65332175925925928</v>
      </c>
      <c r="C282" t="s">
        <v>57</v>
      </c>
      <c r="D282" s="2">
        <v>37.632946666666662</v>
      </c>
      <c r="E282" t="s">
        <v>58</v>
      </c>
      <c r="F282" s="2">
        <v>141.01344</v>
      </c>
      <c r="G282" t="s">
        <v>59</v>
      </c>
      <c r="H282" s="4">
        <v>0.74080000000000013</v>
      </c>
      <c r="I282" s="5">
        <v>86.2</v>
      </c>
      <c r="J282">
        <v>170220</v>
      </c>
      <c r="M282" t="s">
        <v>57</v>
      </c>
      <c r="N282" t="s">
        <v>69</v>
      </c>
      <c r="O282" s="2">
        <v>3.1249999921101335E-6</v>
      </c>
      <c r="P282" s="2">
        <v>7.9861110577894578E-6</v>
      </c>
      <c r="Q282" s="2">
        <v>0.35561328162303774</v>
      </c>
      <c r="R282" s="2">
        <v>0.70484772185158362</v>
      </c>
      <c r="S282" s="2">
        <v>0.78947521737459492</v>
      </c>
      <c r="T282" s="5">
        <f t="shared" ref="T282:V282" si="560">IFERROR(MROUND(Q282,0.2),-MROUND(ABS(Q282),0.2))</f>
        <v>0.4</v>
      </c>
      <c r="U282" s="5">
        <f t="shared" si="560"/>
        <v>0.8</v>
      </c>
      <c r="V282" s="5">
        <f t="shared" si="560"/>
        <v>0.8</v>
      </c>
      <c r="W282" s="2">
        <f t="shared" ref="W282:Y282" si="561">Q282^2</f>
        <v>0.12646080606670596</v>
      </c>
      <c r="X282" s="2">
        <f t="shared" si="561"/>
        <v>0.4968103109993674</v>
      </c>
      <c r="Y282" s="2">
        <f t="shared" si="561"/>
        <v>0.62327111884866393</v>
      </c>
    </row>
    <row r="283" spans="1:25" x14ac:dyDescent="0.7">
      <c r="A283" t="s">
        <v>56</v>
      </c>
      <c r="B283" s="3">
        <v>0.65333333333333332</v>
      </c>
      <c r="C283" t="s">
        <v>57</v>
      </c>
      <c r="D283" s="2">
        <v>37.632946666666662</v>
      </c>
      <c r="E283" t="s">
        <v>58</v>
      </c>
      <c r="F283" s="2">
        <v>141.01344</v>
      </c>
      <c r="G283" t="s">
        <v>59</v>
      </c>
      <c r="H283" s="4">
        <v>0</v>
      </c>
      <c r="I283" s="5">
        <v>86.2</v>
      </c>
      <c r="J283">
        <v>170220</v>
      </c>
      <c r="M283" t="s">
        <v>57</v>
      </c>
      <c r="N283" t="s">
        <v>63</v>
      </c>
      <c r="O283" s="2">
        <v>3.1249999921101335E-6</v>
      </c>
      <c r="P283" s="2">
        <v>7.9861110577894578E-6</v>
      </c>
      <c r="Q283" s="2">
        <v>0.35561328162303774</v>
      </c>
      <c r="R283" s="2">
        <v>0.70484772185158362</v>
      </c>
      <c r="S283" s="2">
        <v>0.78947521737459492</v>
      </c>
      <c r="T283" s="5">
        <f t="shared" ref="T283:V283" si="562">IFERROR(MROUND(Q283,0.2),-MROUND(ABS(Q283),0.2))</f>
        <v>0.4</v>
      </c>
      <c r="U283" s="5">
        <f t="shared" si="562"/>
        <v>0.8</v>
      </c>
      <c r="V283" s="5">
        <f t="shared" si="562"/>
        <v>0.8</v>
      </c>
      <c r="W283" s="2">
        <f t="shared" ref="W283:Y283" si="563">Q283^2</f>
        <v>0.12646080606670596</v>
      </c>
      <c r="X283" s="2">
        <f t="shared" si="563"/>
        <v>0.4968103109993674</v>
      </c>
      <c r="Y283" s="2">
        <f t="shared" si="563"/>
        <v>0.62327111884866393</v>
      </c>
    </row>
    <row r="284" spans="1:25" x14ac:dyDescent="0.7">
      <c r="A284" t="s">
        <v>56</v>
      </c>
      <c r="B284" s="3">
        <v>0.65335648148148151</v>
      </c>
      <c r="C284" t="s">
        <v>57</v>
      </c>
      <c r="D284" s="2">
        <v>37.632948333333339</v>
      </c>
      <c r="E284" t="s">
        <v>58</v>
      </c>
      <c r="F284" s="2">
        <v>141.01344166666667</v>
      </c>
      <c r="G284" t="s">
        <v>59</v>
      </c>
      <c r="H284" s="4">
        <v>0.55559999999999998</v>
      </c>
      <c r="I284" s="5">
        <v>86.2</v>
      </c>
      <c r="J284">
        <v>170220</v>
      </c>
      <c r="M284" t="s">
        <v>57</v>
      </c>
      <c r="N284" t="s">
        <v>70</v>
      </c>
      <c r="O284" s="2">
        <v>4.791666668779726E-6</v>
      </c>
      <c r="P284" s="2">
        <v>9.6527777202481957E-6</v>
      </c>
      <c r="Q284" s="2">
        <v>0.5376367471375807</v>
      </c>
      <c r="R284" s="2">
        <v>0.85537482798099518</v>
      </c>
      <c r="S284" s="2">
        <v>1.0058262535630209</v>
      </c>
      <c r="T284" s="5">
        <f t="shared" ref="T284:V284" si="564">IFERROR(MROUND(Q284,0.2),-MROUND(ABS(Q284),0.2))</f>
        <v>0.60000000000000009</v>
      </c>
      <c r="U284" s="5">
        <f t="shared" si="564"/>
        <v>0.8</v>
      </c>
      <c r="V284" s="5">
        <f t="shared" si="564"/>
        <v>1</v>
      </c>
      <c r="W284" s="2">
        <f t="shared" ref="W284:Y284" si="565">Q284^2</f>
        <v>0.28905327187267887</v>
      </c>
      <c r="X284" s="2">
        <f t="shared" si="565"/>
        <v>0.73166609634351709</v>
      </c>
      <c r="Y284" s="2">
        <f t="shared" si="565"/>
        <v>1.0116864523566225</v>
      </c>
    </row>
    <row r="285" spans="1:25" x14ac:dyDescent="0.7">
      <c r="A285" t="s">
        <v>56</v>
      </c>
      <c r="B285" s="3">
        <v>0.65339120370370374</v>
      </c>
      <c r="C285" t="s">
        <v>57</v>
      </c>
      <c r="D285" s="2">
        <v>37.632944999999999</v>
      </c>
      <c r="E285" t="s">
        <v>58</v>
      </c>
      <c r="F285" s="2">
        <v>141.01343833333334</v>
      </c>
      <c r="G285" t="s">
        <v>59</v>
      </c>
      <c r="H285" s="4">
        <v>0.55559999999999998</v>
      </c>
      <c r="I285" s="5">
        <v>86.2</v>
      </c>
      <c r="J285">
        <v>170220</v>
      </c>
      <c r="M285" t="s">
        <v>57</v>
      </c>
      <c r="N285" t="s">
        <v>88</v>
      </c>
      <c r="O285" s="2">
        <v>1.4583333296513956E-6</v>
      </c>
      <c r="P285" s="2">
        <v>6.31944439533072E-6</v>
      </c>
      <c r="Q285" s="2">
        <v>0.19008329510688782</v>
      </c>
      <c r="R285" s="2">
        <v>0.56227396882598613</v>
      </c>
      <c r="S285" s="2">
        <v>0.58587606309334395</v>
      </c>
      <c r="T285" s="5">
        <f t="shared" ref="T285:V285" si="566">IFERROR(MROUND(Q285,0.2),-MROUND(ABS(Q285),0.2))</f>
        <v>0.2</v>
      </c>
      <c r="U285" s="5">
        <f t="shared" si="566"/>
        <v>0.60000000000000009</v>
      </c>
      <c r="V285" s="5">
        <f t="shared" si="566"/>
        <v>0.60000000000000009</v>
      </c>
      <c r="W285" s="2">
        <f t="shared" ref="W285:Y285" si="567">Q285^2</f>
        <v>3.6131659078692202E-2</v>
      </c>
      <c r="X285" s="2">
        <f t="shared" si="567"/>
        <v>0.31615201601932602</v>
      </c>
      <c r="Y285" s="2">
        <f t="shared" si="567"/>
        <v>0.34325076130575594</v>
      </c>
    </row>
    <row r="286" spans="1:25" x14ac:dyDescent="0.7">
      <c r="A286" t="s">
        <v>56</v>
      </c>
      <c r="B286" s="3">
        <v>0.65340277777777778</v>
      </c>
      <c r="C286" t="s">
        <v>57</v>
      </c>
      <c r="D286" s="2">
        <v>37.63294333333333</v>
      </c>
      <c r="E286" t="s">
        <v>58</v>
      </c>
      <c r="F286" s="2">
        <v>141.01343666666668</v>
      </c>
      <c r="G286" t="s">
        <v>59</v>
      </c>
      <c r="H286" s="4">
        <v>0</v>
      </c>
      <c r="I286" s="5">
        <v>86.2</v>
      </c>
      <c r="J286">
        <v>170220</v>
      </c>
      <c r="M286" t="s">
        <v>57</v>
      </c>
      <c r="N286" t="s">
        <v>89</v>
      </c>
      <c r="O286" s="2">
        <v>-2.0833333991276959E-7</v>
      </c>
      <c r="P286" s="2">
        <v>4.6527777328719822E-6</v>
      </c>
      <c r="Q286" s="2">
        <v>0</v>
      </c>
      <c r="R286" s="2">
        <v>0.41427693655817155</v>
      </c>
      <c r="S286" s="2">
        <v>0.41427693655817155</v>
      </c>
      <c r="T286" s="5">
        <f t="shared" ref="T286:V286" si="568">IFERROR(MROUND(Q286,0.2),-MROUND(ABS(Q286),0.2))</f>
        <v>0</v>
      </c>
      <c r="U286" s="5">
        <f t="shared" si="568"/>
        <v>0.4</v>
      </c>
      <c r="V286" s="5">
        <f t="shared" si="568"/>
        <v>0.4</v>
      </c>
      <c r="W286" s="2">
        <f t="shared" ref="W286:Y286" si="569">Q286^2</f>
        <v>0</v>
      </c>
      <c r="X286" s="2">
        <f t="shared" si="569"/>
        <v>0.17162538016402329</v>
      </c>
      <c r="Y286" s="2">
        <f t="shared" si="569"/>
        <v>0.17162538016402329</v>
      </c>
    </row>
    <row r="287" spans="1:25" x14ac:dyDescent="0.7">
      <c r="A287" t="s">
        <v>56</v>
      </c>
      <c r="B287" s="3">
        <v>0.65341435185185182</v>
      </c>
      <c r="C287" t="s">
        <v>57</v>
      </c>
      <c r="D287" s="2">
        <v>37.63294333333333</v>
      </c>
      <c r="E287" t="s">
        <v>58</v>
      </c>
      <c r="F287" s="2">
        <v>141.01343666666668</v>
      </c>
      <c r="G287" t="s">
        <v>59</v>
      </c>
      <c r="H287" s="4">
        <v>0</v>
      </c>
      <c r="I287" s="5">
        <v>86.2</v>
      </c>
      <c r="J287">
        <v>170220</v>
      </c>
      <c r="M287" t="s">
        <v>57</v>
      </c>
      <c r="N287" t="s">
        <v>65</v>
      </c>
      <c r="O287" s="2">
        <v>-2.0833333991276959E-7</v>
      </c>
      <c r="P287" s="2">
        <v>4.6527777328719822E-6</v>
      </c>
      <c r="Q287" s="2">
        <v>0</v>
      </c>
      <c r="R287" s="2">
        <v>0.41427693655817155</v>
      </c>
      <c r="S287" s="2">
        <v>0.41427693655817155</v>
      </c>
      <c r="T287" s="5">
        <f t="shared" ref="T287:V287" si="570">IFERROR(MROUND(Q287,0.2),-MROUND(ABS(Q287),0.2))</f>
        <v>0</v>
      </c>
      <c r="U287" s="5">
        <f t="shared" si="570"/>
        <v>0.4</v>
      </c>
      <c r="V287" s="5">
        <f t="shared" si="570"/>
        <v>0.4</v>
      </c>
      <c r="W287" s="2">
        <f t="shared" ref="W287:Y287" si="571">Q287^2</f>
        <v>0</v>
      </c>
      <c r="X287" s="2">
        <f t="shared" si="571"/>
        <v>0.17162538016402329</v>
      </c>
      <c r="Y287" s="2">
        <f t="shared" si="571"/>
        <v>0.17162538016402329</v>
      </c>
    </row>
    <row r="288" spans="1:25" x14ac:dyDescent="0.7">
      <c r="A288" t="s">
        <v>56</v>
      </c>
      <c r="B288" s="3">
        <v>0.65342592592592597</v>
      </c>
      <c r="C288" t="s">
        <v>57</v>
      </c>
      <c r="D288" s="2">
        <v>37.632941666666667</v>
      </c>
      <c r="E288" t="s">
        <v>58</v>
      </c>
      <c r="F288" s="2">
        <v>141.01343333333335</v>
      </c>
      <c r="G288" t="s">
        <v>59</v>
      </c>
      <c r="H288" s="4">
        <v>0.55559999999999998</v>
      </c>
      <c r="I288" s="5">
        <v>86.2</v>
      </c>
      <c r="J288">
        <v>170220</v>
      </c>
      <c r="M288" t="s">
        <v>57</v>
      </c>
      <c r="N288" t="s">
        <v>89</v>
      </c>
      <c r="O288" s="2">
        <v>-1.8750000023715074E-6</v>
      </c>
      <c r="P288" s="2">
        <v>1.3194444079545065E-6</v>
      </c>
      <c r="Q288" s="2">
        <v>-0.21251958491087164</v>
      </c>
      <c r="R288" s="2">
        <v>0.13440918607627972</v>
      </c>
      <c r="S288" s="2">
        <v>0.23280354079412158</v>
      </c>
      <c r="T288" s="5">
        <f t="shared" ref="T288:V288" si="572">IFERROR(MROUND(Q288,0.2),-MROUND(ABS(Q288),0.2))</f>
        <v>-0.2</v>
      </c>
      <c r="U288" s="5">
        <f t="shared" si="572"/>
        <v>0.2</v>
      </c>
      <c r="V288" s="5">
        <f t="shared" si="572"/>
        <v>0.2</v>
      </c>
      <c r="W288" s="2">
        <f t="shared" ref="W288:Y288" si="573">Q288^2</f>
        <v>4.5164573970689181E-2</v>
      </c>
      <c r="X288" s="2">
        <f t="shared" si="573"/>
        <v>1.8065829301687986E-2</v>
      </c>
      <c r="Y288" s="2">
        <f t="shared" si="573"/>
        <v>5.4197488606280229E-2</v>
      </c>
    </row>
    <row r="289" spans="1:25" x14ac:dyDescent="0.7">
      <c r="A289" t="s">
        <v>56</v>
      </c>
      <c r="B289" s="3">
        <v>0.6534375</v>
      </c>
      <c r="C289" t="s">
        <v>57</v>
      </c>
      <c r="D289" s="2">
        <v>37.632941666666667</v>
      </c>
      <c r="E289" t="s">
        <v>58</v>
      </c>
      <c r="F289" s="2">
        <v>141.01343</v>
      </c>
      <c r="G289" t="s">
        <v>59</v>
      </c>
      <c r="H289" s="4">
        <v>0</v>
      </c>
      <c r="I289" s="5">
        <v>86.2</v>
      </c>
      <c r="J289">
        <v>170220</v>
      </c>
      <c r="M289" t="s">
        <v>57</v>
      </c>
      <c r="N289" t="s">
        <v>62</v>
      </c>
      <c r="O289" s="2">
        <v>-1.8750000023715074E-6</v>
      </c>
      <c r="P289" s="2">
        <v>-2.0138889453846787E-6</v>
      </c>
      <c r="Q289" s="2">
        <v>-0.21251958491087164</v>
      </c>
      <c r="R289" s="2">
        <v>-0.19008329510688782</v>
      </c>
      <c r="S289" s="2">
        <v>0.28512494266033173</v>
      </c>
      <c r="T289" s="5">
        <f t="shared" ref="T289:V289" si="574">IFERROR(MROUND(Q289,0.2),-MROUND(ABS(Q289),0.2))</f>
        <v>-0.2</v>
      </c>
      <c r="U289" s="5">
        <f t="shared" si="574"/>
        <v>-0.2</v>
      </c>
      <c r="V289" s="5">
        <f t="shared" si="574"/>
        <v>0.2</v>
      </c>
      <c r="W289" s="2">
        <f t="shared" ref="W289:Y289" si="575">Q289^2</f>
        <v>4.5164573970689181E-2</v>
      </c>
      <c r="X289" s="2">
        <f t="shared" si="575"/>
        <v>3.6131659078692202E-2</v>
      </c>
      <c r="Y289" s="2">
        <f t="shared" si="575"/>
        <v>8.1296232927057455E-2</v>
      </c>
    </row>
    <row r="290" spans="1:25" x14ac:dyDescent="0.7">
      <c r="A290" t="s">
        <v>56</v>
      </c>
      <c r="B290" s="3">
        <v>0.65344907407407404</v>
      </c>
      <c r="C290" t="s">
        <v>57</v>
      </c>
      <c r="D290" s="2">
        <v>37.632941666666667</v>
      </c>
      <c r="E290" t="s">
        <v>58</v>
      </c>
      <c r="F290" s="2">
        <v>141.01342833333334</v>
      </c>
      <c r="G290" t="s">
        <v>59</v>
      </c>
      <c r="H290" s="4">
        <v>0</v>
      </c>
      <c r="I290" s="5">
        <v>86.2</v>
      </c>
      <c r="J290">
        <v>170220</v>
      </c>
      <c r="M290" t="s">
        <v>57</v>
      </c>
      <c r="N290" t="s">
        <v>62</v>
      </c>
      <c r="O290" s="2">
        <v>-1.8750000023715074E-6</v>
      </c>
      <c r="P290" s="2">
        <v>-3.6805556078434165E-6</v>
      </c>
      <c r="Q290" s="2">
        <v>-0.21251958491087164</v>
      </c>
      <c r="R290" s="2">
        <v>-0.32923392455099521</v>
      </c>
      <c r="S290" s="2">
        <v>0.3918667507223268</v>
      </c>
      <c r="T290" s="5">
        <f t="shared" ref="T290:V290" si="576">IFERROR(MROUND(Q290,0.2),-MROUND(ABS(Q290),0.2))</f>
        <v>-0.2</v>
      </c>
      <c r="U290" s="5">
        <f t="shared" si="576"/>
        <v>-0.4</v>
      </c>
      <c r="V290" s="5">
        <f t="shared" si="576"/>
        <v>0.4</v>
      </c>
      <c r="W290" s="2">
        <f t="shared" ref="W290:Y290" si="577">Q290^2</f>
        <v>4.5164573970689181E-2</v>
      </c>
      <c r="X290" s="2">
        <f t="shared" si="577"/>
        <v>0.10839497707525041</v>
      </c>
      <c r="Y290" s="2">
        <f t="shared" si="577"/>
        <v>0.1535595503216742</v>
      </c>
    </row>
    <row r="291" spans="1:25" x14ac:dyDescent="0.7">
      <c r="A291" t="s">
        <v>56</v>
      </c>
      <c r="B291" s="3">
        <v>0.65346064814814808</v>
      </c>
      <c r="C291" t="s">
        <v>57</v>
      </c>
      <c r="D291" s="2">
        <v>37.632941666666667</v>
      </c>
      <c r="E291" t="s">
        <v>58</v>
      </c>
      <c r="F291" s="2">
        <v>141.01342833333334</v>
      </c>
      <c r="G291" t="s">
        <v>59</v>
      </c>
      <c r="H291" s="4">
        <v>0</v>
      </c>
      <c r="I291" s="5">
        <v>86.2</v>
      </c>
      <c r="J291">
        <v>170220</v>
      </c>
      <c r="M291" t="s">
        <v>57</v>
      </c>
      <c r="N291" t="s">
        <v>60</v>
      </c>
      <c r="O291" s="2">
        <v>-1.8750000023715074E-6</v>
      </c>
      <c r="P291" s="2">
        <v>-3.6805556078434165E-6</v>
      </c>
      <c r="Q291" s="2">
        <v>-0.21251958491087164</v>
      </c>
      <c r="R291" s="2">
        <v>-0.32923392455099521</v>
      </c>
      <c r="S291" s="2">
        <v>0.3918667507223268</v>
      </c>
      <c r="T291" s="5">
        <f t="shared" ref="T291:V291" si="578">IFERROR(MROUND(Q291,0.2),-MROUND(ABS(Q291),0.2))</f>
        <v>-0.2</v>
      </c>
      <c r="U291" s="5">
        <f t="shared" si="578"/>
        <v>-0.4</v>
      </c>
      <c r="V291" s="5">
        <f t="shared" si="578"/>
        <v>0.4</v>
      </c>
      <c r="W291" s="2">
        <f t="shared" ref="W291:Y291" si="579">Q291^2</f>
        <v>4.5164573970689181E-2</v>
      </c>
      <c r="X291" s="2">
        <f t="shared" si="579"/>
        <v>0.10839497707525041</v>
      </c>
      <c r="Y291" s="2">
        <f t="shared" si="579"/>
        <v>0.1535595503216742</v>
      </c>
    </row>
    <row r="292" spans="1:25" x14ac:dyDescent="0.7">
      <c r="A292" t="s">
        <v>56</v>
      </c>
      <c r="B292" s="3">
        <v>0.65347222222222223</v>
      </c>
      <c r="C292" t="s">
        <v>57</v>
      </c>
      <c r="D292" s="2">
        <v>37.632939999999998</v>
      </c>
      <c r="E292" t="s">
        <v>58</v>
      </c>
      <c r="F292" s="2">
        <v>141.01342833333334</v>
      </c>
      <c r="G292" t="s">
        <v>59</v>
      </c>
      <c r="H292" s="4">
        <v>0.37040000000000006</v>
      </c>
      <c r="I292" s="5">
        <v>86.2</v>
      </c>
      <c r="J292">
        <v>170220</v>
      </c>
      <c r="M292" t="s">
        <v>57</v>
      </c>
      <c r="N292" t="s">
        <v>64</v>
      </c>
      <c r="O292" s="2">
        <v>-3.5416666719356726E-6</v>
      </c>
      <c r="P292" s="2">
        <v>-3.6805556078434165E-6</v>
      </c>
      <c r="Q292" s="2">
        <v>-0.3918667507223268</v>
      </c>
      <c r="R292" s="2">
        <v>-0.32923392455099521</v>
      </c>
      <c r="S292" s="2">
        <v>0.51181493468277584</v>
      </c>
      <c r="T292" s="5">
        <f t="shared" ref="T292:V292" si="580">IFERROR(MROUND(Q292,0.2),-MROUND(ABS(Q292),0.2))</f>
        <v>-0.4</v>
      </c>
      <c r="U292" s="5">
        <f t="shared" si="580"/>
        <v>-0.4</v>
      </c>
      <c r="V292" s="5">
        <f t="shared" si="580"/>
        <v>0.60000000000000009</v>
      </c>
      <c r="W292" s="2">
        <f t="shared" ref="W292:Y292" si="581">Q292^2</f>
        <v>0.1535595503216742</v>
      </c>
      <c r="X292" s="2">
        <f t="shared" si="581"/>
        <v>0.10839497707525041</v>
      </c>
      <c r="Y292" s="2">
        <f t="shared" si="581"/>
        <v>0.26195452736433411</v>
      </c>
    </row>
    <row r="293" spans="1:25" x14ac:dyDescent="0.7">
      <c r="A293" t="s">
        <v>56</v>
      </c>
      <c r="B293" s="3">
        <v>0.65348379629629627</v>
      </c>
      <c r="C293" t="s">
        <v>57</v>
      </c>
      <c r="D293" s="2">
        <v>37.632938333333328</v>
      </c>
      <c r="E293" t="s">
        <v>58</v>
      </c>
      <c r="F293" s="2">
        <v>141.01342666666667</v>
      </c>
      <c r="G293" t="s">
        <v>59</v>
      </c>
      <c r="H293" s="4">
        <v>0</v>
      </c>
      <c r="I293" s="5">
        <v>86.2</v>
      </c>
      <c r="J293">
        <v>170220</v>
      </c>
      <c r="M293" t="s">
        <v>57</v>
      </c>
      <c r="N293" t="s">
        <v>67</v>
      </c>
      <c r="O293" s="2">
        <v>-5.2083333414998378E-6</v>
      </c>
      <c r="P293" s="2">
        <v>-5.3472222703021544E-6</v>
      </c>
      <c r="Q293" s="2">
        <v>-0.58587606309334395</v>
      </c>
      <c r="R293" s="2">
        <v>-0.47520823776721954</v>
      </c>
      <c r="S293" s="2">
        <v>0.74835868041313058</v>
      </c>
      <c r="T293" s="5">
        <f t="shared" ref="T293:V293" si="582">IFERROR(MROUND(Q293,0.2),-MROUND(ABS(Q293),0.2))</f>
        <v>-0.60000000000000009</v>
      </c>
      <c r="U293" s="5">
        <f t="shared" si="582"/>
        <v>-0.4</v>
      </c>
      <c r="V293" s="5">
        <f t="shared" si="582"/>
        <v>0.8</v>
      </c>
      <c r="W293" s="2">
        <f t="shared" ref="W293:Y293" si="583">Q293^2</f>
        <v>0.34325076130575594</v>
      </c>
      <c r="X293" s="2">
        <f t="shared" si="583"/>
        <v>0.22582286924182626</v>
      </c>
      <c r="Y293" s="2">
        <f t="shared" si="583"/>
        <v>0.56004071454968207</v>
      </c>
    </row>
    <row r="294" spans="1:25" x14ac:dyDescent="0.7">
      <c r="A294" t="s">
        <v>56</v>
      </c>
      <c r="B294" s="3">
        <v>0.65349537037037042</v>
      </c>
      <c r="C294" t="s">
        <v>57</v>
      </c>
      <c r="D294" s="2">
        <v>37.632936666666666</v>
      </c>
      <c r="E294" t="s">
        <v>58</v>
      </c>
      <c r="F294" s="2">
        <v>141.01342666666667</v>
      </c>
      <c r="G294" t="s">
        <v>59</v>
      </c>
      <c r="H294" s="4">
        <v>0.37040000000000006</v>
      </c>
      <c r="I294" s="5">
        <v>86.2</v>
      </c>
      <c r="J294">
        <v>170220</v>
      </c>
      <c r="M294" t="s">
        <v>57</v>
      </c>
      <c r="N294" t="s">
        <v>67</v>
      </c>
      <c r="O294" s="2">
        <v>-6.8750000039585757E-6</v>
      </c>
      <c r="P294" s="2">
        <v>-5.3472222703021544E-6</v>
      </c>
      <c r="Q294" s="2">
        <v>-0.76625025831750149</v>
      </c>
      <c r="R294" s="2">
        <v>-0.47520823776721954</v>
      </c>
      <c r="S294" s="2">
        <v>0.90164423613581413</v>
      </c>
      <c r="T294" s="5">
        <f t="shared" ref="T294:V294" si="584">IFERROR(MROUND(Q294,0.2),-MROUND(ABS(Q294),0.2))</f>
        <v>-0.8</v>
      </c>
      <c r="U294" s="5">
        <f t="shared" si="584"/>
        <v>-0.4</v>
      </c>
      <c r="V294" s="5">
        <f t="shared" si="584"/>
        <v>1</v>
      </c>
      <c r="W294" s="2">
        <f t="shared" ref="W294:Y294" si="585">Q294^2</f>
        <v>0.58713945837163772</v>
      </c>
      <c r="X294" s="2">
        <f t="shared" si="585"/>
        <v>0.22582286924182626</v>
      </c>
      <c r="Y294" s="2">
        <f t="shared" si="585"/>
        <v>0.81296232855693573</v>
      </c>
    </row>
    <row r="295" spans="1:25" x14ac:dyDescent="0.7">
      <c r="A295" t="s">
        <v>56</v>
      </c>
      <c r="B295" s="3">
        <v>0.65350694444444446</v>
      </c>
      <c r="C295" t="s">
        <v>57</v>
      </c>
      <c r="D295" s="2">
        <v>37.632934999999996</v>
      </c>
      <c r="E295" t="s">
        <v>58</v>
      </c>
      <c r="F295" s="2">
        <v>141.01342500000001</v>
      </c>
      <c r="G295" t="s">
        <v>59</v>
      </c>
      <c r="H295" s="4">
        <v>0</v>
      </c>
      <c r="I295" s="5">
        <v>86.2</v>
      </c>
      <c r="J295">
        <v>170220</v>
      </c>
      <c r="M295" t="s">
        <v>57</v>
      </c>
      <c r="N295" t="s">
        <v>89</v>
      </c>
      <c r="O295" s="2">
        <v>-8.5416666735227409E-6</v>
      </c>
      <c r="P295" s="2">
        <v>-7.0138889327608922E-6</v>
      </c>
      <c r="Q295" s="2">
        <v>-0.95041647553443909</v>
      </c>
      <c r="R295" s="2">
        <v>-0.62322976091616633</v>
      </c>
      <c r="S295" s="2">
        <v>1.1325519394218322</v>
      </c>
      <c r="T295" s="5">
        <f t="shared" ref="T295:V295" si="586">IFERROR(MROUND(Q295,0.2),-MROUND(ABS(Q295),0.2))</f>
        <v>-1</v>
      </c>
      <c r="U295" s="5">
        <f t="shared" si="586"/>
        <v>-0.60000000000000009</v>
      </c>
      <c r="V295" s="5">
        <f t="shared" si="586"/>
        <v>1.2000000000000002</v>
      </c>
      <c r="W295" s="2">
        <f t="shared" ref="W295:Y295" si="587">Q295^2</f>
        <v>0.90329147696730505</v>
      </c>
      <c r="X295" s="2">
        <f t="shared" si="587"/>
        <v>0.38841533489162183</v>
      </c>
      <c r="Y295" s="2">
        <f t="shared" si="587"/>
        <v>1.2826738954881534</v>
      </c>
    </row>
    <row r="296" spans="1:25" x14ac:dyDescent="0.7">
      <c r="A296" t="s">
        <v>56</v>
      </c>
      <c r="B296" s="3">
        <v>0.65353009259259254</v>
      </c>
      <c r="C296" t="s">
        <v>57</v>
      </c>
      <c r="D296" s="2">
        <v>37.632936666666666</v>
      </c>
      <c r="E296" t="s">
        <v>58</v>
      </c>
      <c r="F296" s="2">
        <v>141.01342500000001</v>
      </c>
      <c r="G296" t="s">
        <v>59</v>
      </c>
      <c r="H296" s="4">
        <v>0.37040000000000006</v>
      </c>
      <c r="I296" s="5">
        <v>86.2</v>
      </c>
      <c r="J296">
        <v>170220</v>
      </c>
      <c r="M296" t="s">
        <v>57</v>
      </c>
      <c r="N296" t="s">
        <v>61</v>
      </c>
      <c r="O296" s="2">
        <v>-6.8750000039585757E-6</v>
      </c>
      <c r="P296" s="2">
        <v>-7.0138889327608922E-6</v>
      </c>
      <c r="Q296" s="2">
        <v>-0.76625025831750149</v>
      </c>
      <c r="R296" s="2">
        <v>-0.62322976091616633</v>
      </c>
      <c r="S296" s="2">
        <v>0.98311844680137184</v>
      </c>
      <c r="T296" s="5">
        <f t="shared" ref="T296:V296" si="588">IFERROR(MROUND(Q296,0.2),-MROUND(ABS(Q296),0.2))</f>
        <v>-0.8</v>
      </c>
      <c r="U296" s="5">
        <f t="shared" si="588"/>
        <v>-0.60000000000000009</v>
      </c>
      <c r="V296" s="5">
        <f t="shared" si="588"/>
        <v>1</v>
      </c>
      <c r="W296" s="2">
        <f t="shared" ref="W296:Y296" si="589">Q296^2</f>
        <v>0.58713945837163772</v>
      </c>
      <c r="X296" s="2">
        <f t="shared" si="589"/>
        <v>0.38841533489162183</v>
      </c>
      <c r="Y296" s="2">
        <f t="shared" si="589"/>
        <v>0.96652188044114173</v>
      </c>
    </row>
    <row r="297" spans="1:25" x14ac:dyDescent="0.7">
      <c r="A297" t="s">
        <v>56</v>
      </c>
      <c r="B297" s="3">
        <v>0.65354166666666669</v>
      </c>
      <c r="C297" t="s">
        <v>57</v>
      </c>
      <c r="D297" s="2">
        <v>37.632939999999998</v>
      </c>
      <c r="E297" t="s">
        <v>58</v>
      </c>
      <c r="F297" s="2">
        <v>141.01342500000001</v>
      </c>
      <c r="G297" t="s">
        <v>59</v>
      </c>
      <c r="H297" s="4">
        <v>0</v>
      </c>
      <c r="I297" s="5">
        <v>86.2</v>
      </c>
      <c r="J297">
        <v>170220</v>
      </c>
      <c r="M297" t="s">
        <v>57</v>
      </c>
      <c r="N297" t="s">
        <v>89</v>
      </c>
      <c r="O297" s="2">
        <v>-3.5416666719356726E-6</v>
      </c>
      <c r="P297" s="2">
        <v>-7.0138889327608922E-6</v>
      </c>
      <c r="Q297" s="2">
        <v>-0.3918667507223268</v>
      </c>
      <c r="R297" s="2">
        <v>-0.62322976091616633</v>
      </c>
      <c r="S297" s="2">
        <v>0.73002874646870386</v>
      </c>
      <c r="T297" s="5">
        <f t="shared" ref="T297:V297" si="590">IFERROR(MROUND(Q297,0.2),-MROUND(ABS(Q297),0.2))</f>
        <v>-0.4</v>
      </c>
      <c r="U297" s="5">
        <f t="shared" si="590"/>
        <v>-0.60000000000000009</v>
      </c>
      <c r="V297" s="5">
        <f t="shared" si="590"/>
        <v>0.8</v>
      </c>
      <c r="W297" s="2">
        <f t="shared" ref="W297:Y297" si="591">Q297^2</f>
        <v>0.1535595503216742</v>
      </c>
      <c r="X297" s="2">
        <f t="shared" si="591"/>
        <v>0.38841533489162183</v>
      </c>
      <c r="Y297" s="2">
        <f t="shared" si="591"/>
        <v>0.53294197067066706</v>
      </c>
    </row>
    <row r="298" spans="1:25" x14ac:dyDescent="0.7">
      <c r="A298" t="s">
        <v>56</v>
      </c>
      <c r="B298" s="3">
        <v>0.65355324074074073</v>
      </c>
      <c r="C298" t="s">
        <v>57</v>
      </c>
      <c r="D298" s="2">
        <v>37.63294333333333</v>
      </c>
      <c r="E298" t="s">
        <v>58</v>
      </c>
      <c r="F298" s="2">
        <v>141.01342666666667</v>
      </c>
      <c r="G298" t="s">
        <v>59</v>
      </c>
      <c r="H298" s="4">
        <v>0</v>
      </c>
      <c r="I298" s="5">
        <v>86.2</v>
      </c>
      <c r="J298">
        <v>170220</v>
      </c>
      <c r="M298" t="s">
        <v>57</v>
      </c>
      <c r="N298" t="s">
        <v>89</v>
      </c>
      <c r="O298" s="2">
        <v>-2.0833333991276959E-7</v>
      </c>
      <c r="P298" s="2">
        <v>-5.3472222703021544E-6</v>
      </c>
      <c r="Q298" s="2">
        <v>0</v>
      </c>
      <c r="R298" s="2">
        <v>-0.47520823776721954</v>
      </c>
      <c r="S298" s="2">
        <v>0.47520823776721954</v>
      </c>
      <c r="T298" s="5">
        <f t="shared" ref="T298:V298" si="592">IFERROR(MROUND(Q298,0.2),-MROUND(ABS(Q298),0.2))</f>
        <v>0</v>
      </c>
      <c r="U298" s="5">
        <f t="shared" si="592"/>
        <v>-0.4</v>
      </c>
      <c r="V298" s="5">
        <f t="shared" si="592"/>
        <v>0.4</v>
      </c>
      <c r="W298" s="2">
        <f t="shared" ref="W298:Y298" si="593">Q298^2</f>
        <v>0</v>
      </c>
      <c r="X298" s="2">
        <f t="shared" si="593"/>
        <v>0.22582286924182626</v>
      </c>
      <c r="Y298" s="2">
        <f t="shared" si="593"/>
        <v>0.22582286924182626</v>
      </c>
    </row>
    <row r="299" spans="1:25" x14ac:dyDescent="0.7">
      <c r="A299" t="s">
        <v>56</v>
      </c>
      <c r="B299" s="3">
        <v>0.65356481481481488</v>
      </c>
      <c r="C299" t="s">
        <v>57</v>
      </c>
      <c r="D299" s="2">
        <v>37.632939999999998</v>
      </c>
      <c r="E299" t="s">
        <v>58</v>
      </c>
      <c r="F299" s="2">
        <v>141.01342500000001</v>
      </c>
      <c r="G299" t="s">
        <v>59</v>
      </c>
      <c r="H299" s="4">
        <v>0</v>
      </c>
      <c r="I299" s="5">
        <v>86.2</v>
      </c>
      <c r="J299">
        <v>170220</v>
      </c>
      <c r="M299" t="s">
        <v>57</v>
      </c>
      <c r="N299" t="s">
        <v>69</v>
      </c>
      <c r="O299" s="2">
        <v>-3.5416666719356726E-6</v>
      </c>
      <c r="P299" s="2">
        <v>-7.0138889327608922E-6</v>
      </c>
      <c r="Q299" s="2">
        <v>-0.3918667507223268</v>
      </c>
      <c r="R299" s="2">
        <v>-0.62322976091616633</v>
      </c>
      <c r="S299" s="2">
        <v>0.73002874646870386</v>
      </c>
      <c r="T299" s="5">
        <f t="shared" ref="T299:V299" si="594">IFERROR(MROUND(Q299,0.2),-MROUND(ABS(Q299),0.2))</f>
        <v>-0.4</v>
      </c>
      <c r="U299" s="5">
        <f t="shared" si="594"/>
        <v>-0.60000000000000009</v>
      </c>
      <c r="V299" s="5">
        <f t="shared" si="594"/>
        <v>0.8</v>
      </c>
      <c r="W299" s="2">
        <f t="shared" ref="W299:Y299" si="595">Q299^2</f>
        <v>0.1535595503216742</v>
      </c>
      <c r="X299" s="2">
        <f t="shared" si="595"/>
        <v>0.38841533489162183</v>
      </c>
      <c r="Y299" s="2">
        <f t="shared" si="595"/>
        <v>0.53294197067066706</v>
      </c>
    </row>
    <row r="300" spans="1:25" x14ac:dyDescent="0.7">
      <c r="A300" t="s">
        <v>56</v>
      </c>
      <c r="B300" s="3">
        <v>0.65358796296296295</v>
      </c>
      <c r="C300" t="s">
        <v>57</v>
      </c>
      <c r="D300" s="2">
        <v>37.632941666666667</v>
      </c>
      <c r="E300" t="s">
        <v>58</v>
      </c>
      <c r="F300" s="2">
        <v>141.01342666666667</v>
      </c>
      <c r="G300" t="s">
        <v>59</v>
      </c>
      <c r="H300" s="4">
        <v>0.37040000000000006</v>
      </c>
      <c r="I300" s="5">
        <v>86.2</v>
      </c>
      <c r="J300">
        <v>170220</v>
      </c>
      <c r="M300" t="s">
        <v>57</v>
      </c>
      <c r="N300" t="s">
        <v>61</v>
      </c>
      <c r="O300" s="2">
        <v>-1.8750000023715074E-6</v>
      </c>
      <c r="P300" s="2">
        <v>-5.3472222703021544E-6</v>
      </c>
      <c r="Q300" s="2">
        <v>-0.21251958491087164</v>
      </c>
      <c r="R300" s="2">
        <v>-0.47520823776721954</v>
      </c>
      <c r="S300" s="2">
        <v>0.51181493468277584</v>
      </c>
      <c r="T300" s="5">
        <f t="shared" ref="T300:V300" si="596">IFERROR(MROUND(Q300,0.2),-MROUND(ABS(Q300),0.2))</f>
        <v>-0.2</v>
      </c>
      <c r="U300" s="5">
        <f t="shared" si="596"/>
        <v>-0.4</v>
      </c>
      <c r="V300" s="5">
        <f t="shared" si="596"/>
        <v>0.60000000000000009</v>
      </c>
      <c r="W300" s="2">
        <f t="shared" ref="W300:Y300" si="597">Q300^2</f>
        <v>4.5164573970689181E-2</v>
      </c>
      <c r="X300" s="2">
        <f t="shared" si="597"/>
        <v>0.22582286924182626</v>
      </c>
      <c r="Y300" s="2">
        <f t="shared" si="597"/>
        <v>0.26195452736433411</v>
      </c>
    </row>
    <row r="301" spans="1:25" x14ac:dyDescent="0.7">
      <c r="A301" t="s">
        <v>56</v>
      </c>
      <c r="B301" s="3">
        <v>0.65361111111111114</v>
      </c>
      <c r="C301" t="s">
        <v>57</v>
      </c>
      <c r="D301" s="2">
        <v>37.632948333333339</v>
      </c>
      <c r="E301" t="s">
        <v>58</v>
      </c>
      <c r="F301" s="2">
        <v>141.01343333333335</v>
      </c>
      <c r="G301" t="s">
        <v>59</v>
      </c>
      <c r="H301" s="4">
        <v>0.37040000000000006</v>
      </c>
      <c r="I301" s="5">
        <v>86.2</v>
      </c>
      <c r="J301">
        <v>170220</v>
      </c>
      <c r="M301" t="s">
        <v>57</v>
      </c>
      <c r="N301" t="s">
        <v>91</v>
      </c>
      <c r="O301" s="2">
        <v>4.791666668779726E-6</v>
      </c>
      <c r="P301" s="2">
        <v>1.3194444079545065E-6</v>
      </c>
      <c r="Q301" s="2">
        <v>0.5376367471375807</v>
      </c>
      <c r="R301" s="2">
        <v>0.13440918607627972</v>
      </c>
      <c r="S301" s="2">
        <v>0.54597269785428026</v>
      </c>
      <c r="T301" s="5">
        <f t="shared" ref="T301:V301" si="598">IFERROR(MROUND(Q301,0.2),-MROUND(ABS(Q301),0.2))</f>
        <v>0.60000000000000009</v>
      </c>
      <c r="U301" s="5">
        <f t="shared" si="598"/>
        <v>0.2</v>
      </c>
      <c r="V301" s="5">
        <f t="shared" si="598"/>
        <v>0.60000000000000009</v>
      </c>
      <c r="W301" s="2">
        <f t="shared" ref="W301:Y301" si="599">Q301^2</f>
        <v>0.28905327187267887</v>
      </c>
      <c r="X301" s="2">
        <f t="shared" si="599"/>
        <v>1.8065829301687986E-2</v>
      </c>
      <c r="Y301" s="2">
        <f t="shared" si="599"/>
        <v>0.29808618680228122</v>
      </c>
    </row>
    <row r="302" spans="1:25" x14ac:dyDescent="0.7">
      <c r="A302" t="s">
        <v>56</v>
      </c>
      <c r="B302" s="3">
        <v>0.65362268518518518</v>
      </c>
      <c r="C302" t="s">
        <v>57</v>
      </c>
      <c r="D302" s="2">
        <v>37.632951666666671</v>
      </c>
      <c r="E302" t="s">
        <v>58</v>
      </c>
      <c r="F302" s="2">
        <v>141.01343499999999</v>
      </c>
      <c r="G302" t="s">
        <v>59</v>
      </c>
      <c r="H302" s="4">
        <v>0.37040000000000006</v>
      </c>
      <c r="I302" s="5">
        <v>86.2</v>
      </c>
      <c r="J302">
        <v>170220</v>
      </c>
      <c r="M302" t="s">
        <v>57</v>
      </c>
      <c r="N302" t="s">
        <v>63</v>
      </c>
      <c r="O302" s="2">
        <v>8.1250000008026291E-6</v>
      </c>
      <c r="P302" s="2">
        <v>2.9861110419915349E-6</v>
      </c>
      <c r="Q302" s="2">
        <v>0.9066395332293935</v>
      </c>
      <c r="R302" s="2">
        <v>0.26881837356879035</v>
      </c>
      <c r="S302" s="2">
        <v>0.94086430819888167</v>
      </c>
      <c r="T302" s="5">
        <f t="shared" ref="T302:V302" si="600">IFERROR(MROUND(Q302,0.2),-MROUND(ABS(Q302),0.2))</f>
        <v>1</v>
      </c>
      <c r="U302" s="5">
        <f t="shared" si="600"/>
        <v>0.2</v>
      </c>
      <c r="V302" s="5">
        <f t="shared" si="600"/>
        <v>1</v>
      </c>
      <c r="W302" s="2">
        <f t="shared" ref="W302:Y302" si="601">Q302^2</f>
        <v>0.82199524321441253</v>
      </c>
      <c r="X302" s="2">
        <f t="shared" si="601"/>
        <v>7.2263317968169719E-2</v>
      </c>
      <c r="Y302" s="2">
        <f t="shared" si="601"/>
        <v>0.88522564644256019</v>
      </c>
    </row>
    <row r="303" spans="1:25" x14ac:dyDescent="0.7">
      <c r="A303" t="s">
        <v>56</v>
      </c>
      <c r="B303" s="3">
        <v>0.65363425925925933</v>
      </c>
      <c r="C303" t="s">
        <v>57</v>
      </c>
      <c r="D303" s="2">
        <v>37.632953333333333</v>
      </c>
      <c r="E303" t="s">
        <v>58</v>
      </c>
      <c r="F303" s="2">
        <v>141.01343499999999</v>
      </c>
      <c r="G303" t="s">
        <v>59</v>
      </c>
      <c r="H303" s="4">
        <v>0</v>
      </c>
      <c r="I303" s="5">
        <v>86.2</v>
      </c>
      <c r="J303">
        <v>170220</v>
      </c>
      <c r="M303" t="s">
        <v>57</v>
      </c>
      <c r="N303" t="s">
        <v>67</v>
      </c>
      <c r="O303" s="2">
        <v>9.7916666632613669E-6</v>
      </c>
      <c r="P303" s="2">
        <v>2.9861110419915349E-6</v>
      </c>
      <c r="Q303" s="2">
        <v>1.0919453957085605</v>
      </c>
      <c r="R303" s="2">
        <v>0.26881837356879035</v>
      </c>
      <c r="S303" s="2">
        <v>1.1205244992797527</v>
      </c>
      <c r="T303" s="5">
        <f t="shared" ref="T303:V303" si="602">IFERROR(MROUND(Q303,0.2),-MROUND(ABS(Q303),0.2))</f>
        <v>1</v>
      </c>
      <c r="U303" s="5">
        <f t="shared" si="602"/>
        <v>0.2</v>
      </c>
      <c r="V303" s="5">
        <f t="shared" si="602"/>
        <v>1.2000000000000002</v>
      </c>
      <c r="W303" s="2">
        <f t="shared" ref="W303:Y303" si="603">Q303^2</f>
        <v>1.1923447472091249</v>
      </c>
      <c r="X303" s="2">
        <f t="shared" si="603"/>
        <v>7.2263317968169719E-2</v>
      </c>
      <c r="Y303" s="2">
        <f t="shared" si="603"/>
        <v>1.2555751534861406</v>
      </c>
    </row>
    <row r="304" spans="1:25" x14ac:dyDescent="0.7">
      <c r="A304" t="s">
        <v>56</v>
      </c>
      <c r="B304" s="3">
        <v>0.6542824074074074</v>
      </c>
      <c r="C304" t="s">
        <v>57</v>
      </c>
      <c r="D304" s="2">
        <v>37.632953333333333</v>
      </c>
      <c r="E304" t="s">
        <v>58</v>
      </c>
      <c r="F304" s="2">
        <v>141.01351333333332</v>
      </c>
      <c r="G304" t="s">
        <v>59</v>
      </c>
      <c r="H304" s="4">
        <v>0</v>
      </c>
      <c r="I304" s="5">
        <v>102.5</v>
      </c>
      <c r="J304">
        <v>170220</v>
      </c>
      <c r="M304" t="s">
        <v>57</v>
      </c>
      <c r="N304" t="s">
        <v>82</v>
      </c>
      <c r="O304" s="2">
        <v>1.7192982468827722E-5</v>
      </c>
      <c r="P304" s="2">
        <v>8.7719294583621377E-7</v>
      </c>
      <c r="Q304" s="2">
        <v>1.9150361340124082</v>
      </c>
      <c r="R304" s="2">
        <v>9.5041647553443909E-2</v>
      </c>
      <c r="S304" s="2">
        <v>1.9150361340124082</v>
      </c>
      <c r="T304" s="5">
        <f t="shared" ref="T304:V304" si="604">IFERROR(MROUND(Q304,0.2),-MROUND(ABS(Q304),0.2))</f>
        <v>2</v>
      </c>
      <c r="U304" s="5">
        <f t="shared" si="604"/>
        <v>0</v>
      </c>
      <c r="V304" s="5">
        <f t="shared" si="604"/>
        <v>2</v>
      </c>
      <c r="W304" s="2">
        <f t="shared" ref="W304:Y304" si="605">Q304^2</f>
        <v>3.6673633945731905</v>
      </c>
      <c r="X304" s="2">
        <f t="shared" si="605"/>
        <v>9.0329147696730505E-3</v>
      </c>
      <c r="Y304" s="2">
        <f t="shared" si="605"/>
        <v>3.6673633945731905</v>
      </c>
    </row>
    <row r="305" spans="1:25" x14ac:dyDescent="0.7">
      <c r="A305" t="s">
        <v>56</v>
      </c>
      <c r="B305" s="3">
        <v>0.65429398148148155</v>
      </c>
      <c r="C305" t="s">
        <v>57</v>
      </c>
      <c r="D305" s="2">
        <v>37.632950000000001</v>
      </c>
      <c r="E305" t="s">
        <v>58</v>
      </c>
      <c r="F305" s="2">
        <v>141.01351166666666</v>
      </c>
      <c r="G305" t="s">
        <v>59</v>
      </c>
      <c r="H305" s="4">
        <v>0.55559999999999998</v>
      </c>
      <c r="I305" s="5">
        <v>102.5</v>
      </c>
      <c r="J305">
        <v>170220</v>
      </c>
      <c r="M305" t="s">
        <v>57</v>
      </c>
      <c r="N305" t="s">
        <v>76</v>
      </c>
      <c r="O305" s="2">
        <v>1.3859649136804819E-5</v>
      </c>
      <c r="P305" s="2">
        <v>-7.8947371662252408E-7</v>
      </c>
      <c r="Q305" s="2">
        <v>1.5442439897334845</v>
      </c>
      <c r="R305" s="2">
        <v>-9.5041647553443909E-2</v>
      </c>
      <c r="S305" s="2">
        <v>1.5442439897334845</v>
      </c>
      <c r="T305" s="5">
        <f t="shared" ref="T305:V305" si="606">IFERROR(MROUND(Q305,0.2),-MROUND(ABS(Q305),0.2))</f>
        <v>1.6</v>
      </c>
      <c r="U305" s="5">
        <f t="shared" si="606"/>
        <v>0</v>
      </c>
      <c r="V305" s="5">
        <f t="shared" si="606"/>
        <v>1.6</v>
      </c>
      <c r="W305" s="2">
        <f t="shared" ref="W305:Y305" si="607">Q305^2</f>
        <v>2.3846894998279904</v>
      </c>
      <c r="X305" s="2">
        <f t="shared" si="607"/>
        <v>9.0329147696730505E-3</v>
      </c>
      <c r="Y305" s="2">
        <f t="shared" si="607"/>
        <v>2.3846894998279904</v>
      </c>
    </row>
    <row r="306" spans="1:25" x14ac:dyDescent="0.7">
      <c r="A306" t="s">
        <v>56</v>
      </c>
      <c r="B306" s="3">
        <v>0.65431712962962962</v>
      </c>
      <c r="C306" t="s">
        <v>57</v>
      </c>
      <c r="D306" s="2">
        <v>37.632938333333328</v>
      </c>
      <c r="E306" t="s">
        <v>58</v>
      </c>
      <c r="F306" s="2">
        <v>141.01350499999998</v>
      </c>
      <c r="G306" t="s">
        <v>59</v>
      </c>
      <c r="H306" s="4">
        <v>0.55559999999999998</v>
      </c>
      <c r="I306" s="5">
        <v>102.5</v>
      </c>
      <c r="J306">
        <v>170220</v>
      </c>
      <c r="M306" t="s">
        <v>57</v>
      </c>
      <c r="N306" t="s">
        <v>74</v>
      </c>
      <c r="O306" s="2">
        <v>2.1929824640665174E-6</v>
      </c>
      <c r="P306" s="2">
        <v>-7.4561403948791849E-6</v>
      </c>
      <c r="Q306" s="2">
        <v>0.25145656374481296</v>
      </c>
      <c r="R306" s="2">
        <v>-0.65846784910199041</v>
      </c>
      <c r="S306" s="2">
        <v>0.70484772185158362</v>
      </c>
      <c r="T306" s="5">
        <f t="shared" ref="T306:V306" si="608">IFERROR(MROUND(Q306,0.2),-MROUND(ABS(Q306),0.2))</f>
        <v>0.2</v>
      </c>
      <c r="U306" s="5">
        <f t="shared" si="608"/>
        <v>-0.60000000000000009</v>
      </c>
      <c r="V306" s="5">
        <f t="shared" si="608"/>
        <v>0.8</v>
      </c>
      <c r="W306" s="2">
        <f t="shared" ref="W306:Y306" si="609">Q306^2</f>
        <v>6.3230403450349179E-2</v>
      </c>
      <c r="X306" s="2">
        <f t="shared" si="609"/>
        <v>0.43357990830100163</v>
      </c>
      <c r="Y306" s="2">
        <f t="shared" si="609"/>
        <v>0.4968103109993674</v>
      </c>
    </row>
    <row r="307" spans="1:25" x14ac:dyDescent="0.7">
      <c r="A307" t="s">
        <v>56</v>
      </c>
      <c r="B307" s="3">
        <v>0.65432870370370366</v>
      </c>
      <c r="C307" t="s">
        <v>57</v>
      </c>
      <c r="D307" s="2">
        <v>37.632938333333328</v>
      </c>
      <c r="E307" t="s">
        <v>58</v>
      </c>
      <c r="F307" s="2">
        <v>141.01350666666667</v>
      </c>
      <c r="G307" t="s">
        <v>59</v>
      </c>
      <c r="H307" s="4">
        <v>0</v>
      </c>
      <c r="I307" s="5">
        <v>102.5</v>
      </c>
      <c r="J307">
        <v>170220</v>
      </c>
      <c r="M307" t="s">
        <v>57</v>
      </c>
      <c r="N307" t="s">
        <v>78</v>
      </c>
      <c r="O307" s="2">
        <v>2.1929824640665174E-6</v>
      </c>
      <c r="P307" s="2">
        <v>-5.7894737039987376E-6</v>
      </c>
      <c r="Q307" s="2">
        <v>0.25145656374481296</v>
      </c>
      <c r="R307" s="2">
        <v>-0.51181493468277584</v>
      </c>
      <c r="S307" s="2">
        <v>0.57024988532066345</v>
      </c>
      <c r="T307" s="5">
        <f t="shared" ref="T307:V307" si="610">IFERROR(MROUND(Q307,0.2),-MROUND(ABS(Q307),0.2))</f>
        <v>0.2</v>
      </c>
      <c r="U307" s="5">
        <f t="shared" si="610"/>
        <v>-0.60000000000000009</v>
      </c>
      <c r="V307" s="5">
        <f t="shared" si="610"/>
        <v>0.60000000000000009</v>
      </c>
      <c r="W307" s="2">
        <f t="shared" ref="W307:Y307" si="611">Q307^2</f>
        <v>6.3230403450349179E-2</v>
      </c>
      <c r="X307" s="2">
        <f t="shared" si="611"/>
        <v>0.26195452736433411</v>
      </c>
      <c r="Y307" s="2">
        <f t="shared" si="611"/>
        <v>0.32518493170822982</v>
      </c>
    </row>
    <row r="308" spans="1:25" x14ac:dyDescent="0.7">
      <c r="A308" t="s">
        <v>56</v>
      </c>
      <c r="B308" s="3">
        <v>0.65434027777777781</v>
      </c>
      <c r="C308" t="s">
        <v>57</v>
      </c>
      <c r="D308" s="2">
        <v>37.632938333333328</v>
      </c>
      <c r="E308" t="s">
        <v>58</v>
      </c>
      <c r="F308" s="2">
        <v>141.01350833333333</v>
      </c>
      <c r="G308" t="s">
        <v>59</v>
      </c>
      <c r="H308" s="4">
        <v>0</v>
      </c>
      <c r="I308" s="5">
        <v>102.5</v>
      </c>
      <c r="J308">
        <v>170220</v>
      </c>
      <c r="M308" t="s">
        <v>57</v>
      </c>
      <c r="N308" t="s">
        <v>78</v>
      </c>
      <c r="O308" s="2">
        <v>2.1929824640665174E-6</v>
      </c>
      <c r="P308" s="2">
        <v>-4.1228070415399998E-6</v>
      </c>
      <c r="Q308" s="2">
        <v>0.25145656374481296</v>
      </c>
      <c r="R308" s="2">
        <v>-0.36809471724311571</v>
      </c>
      <c r="S308" s="2">
        <v>0.4355355439701365</v>
      </c>
      <c r="T308" s="5">
        <f t="shared" ref="T308:V308" si="612">IFERROR(MROUND(Q308,0.2),-MROUND(ABS(Q308),0.2))</f>
        <v>0.2</v>
      </c>
      <c r="U308" s="5">
        <f t="shared" si="612"/>
        <v>-0.4</v>
      </c>
      <c r="V308" s="5">
        <f t="shared" si="612"/>
        <v>0.4</v>
      </c>
      <c r="W308" s="2">
        <f t="shared" ref="W308:Y308" si="613">Q308^2</f>
        <v>6.3230403450349179E-2</v>
      </c>
      <c r="X308" s="2">
        <f t="shared" si="613"/>
        <v>0.13549372086228931</v>
      </c>
      <c r="Y308" s="2">
        <f t="shared" si="613"/>
        <v>0.18969121006136269</v>
      </c>
    </row>
    <row r="309" spans="1:25" x14ac:dyDescent="0.7">
      <c r="A309" t="s">
        <v>56</v>
      </c>
      <c r="B309" s="3">
        <v>0.65435185185185185</v>
      </c>
      <c r="C309" t="s">
        <v>57</v>
      </c>
      <c r="D309" s="2">
        <v>37.632939999999998</v>
      </c>
      <c r="E309" t="s">
        <v>58</v>
      </c>
      <c r="F309" s="2">
        <v>141.01351000000003</v>
      </c>
      <c r="G309" t="s">
        <v>59</v>
      </c>
      <c r="H309" s="4">
        <v>0</v>
      </c>
      <c r="I309" s="5">
        <v>102.5</v>
      </c>
      <c r="J309">
        <v>170220</v>
      </c>
      <c r="M309" t="s">
        <v>57</v>
      </c>
      <c r="N309" t="s">
        <v>76</v>
      </c>
      <c r="O309" s="2">
        <v>3.8596491336306826E-6</v>
      </c>
      <c r="P309" s="2">
        <v>-2.4561403506595525E-6</v>
      </c>
      <c r="Q309" s="2">
        <v>0.4355355439701365</v>
      </c>
      <c r="R309" s="2">
        <v>-0.21251958491087164</v>
      </c>
      <c r="S309" s="2">
        <v>0.48461921537840325</v>
      </c>
      <c r="T309" s="5">
        <f t="shared" ref="T309:V309" si="614">IFERROR(MROUND(Q309,0.2),-MROUND(ABS(Q309),0.2))</f>
        <v>0.4</v>
      </c>
      <c r="U309" s="5">
        <f t="shared" si="614"/>
        <v>-0.2</v>
      </c>
      <c r="V309" s="5">
        <f t="shared" si="614"/>
        <v>0.4</v>
      </c>
      <c r="W309" s="2">
        <f t="shared" ref="W309:Y309" si="615">Q309^2</f>
        <v>0.18969121006136269</v>
      </c>
      <c r="X309" s="2">
        <f t="shared" si="615"/>
        <v>4.5164573970689181E-2</v>
      </c>
      <c r="Y309" s="2">
        <f t="shared" si="615"/>
        <v>0.23485578391397918</v>
      </c>
    </row>
    <row r="310" spans="1:25" x14ac:dyDescent="0.7">
      <c r="A310" t="s">
        <v>56</v>
      </c>
      <c r="B310" s="3">
        <v>0.65436342592592589</v>
      </c>
      <c r="C310" t="s">
        <v>57</v>
      </c>
      <c r="D310" s="2">
        <v>37.632939999999998</v>
      </c>
      <c r="E310" t="s">
        <v>58</v>
      </c>
      <c r="F310" s="2">
        <v>141.01351000000003</v>
      </c>
      <c r="G310" t="s">
        <v>59</v>
      </c>
      <c r="H310" s="4">
        <v>0</v>
      </c>
      <c r="I310" s="5">
        <v>102.5</v>
      </c>
      <c r="J310">
        <v>170220</v>
      </c>
      <c r="M310" t="s">
        <v>57</v>
      </c>
      <c r="N310" t="s">
        <v>75</v>
      </c>
      <c r="O310" s="2">
        <v>3.8596491336306826E-6</v>
      </c>
      <c r="P310" s="2">
        <v>-2.4561403506595525E-6</v>
      </c>
      <c r="Q310" s="2">
        <v>0.4355355439701365</v>
      </c>
      <c r="R310" s="2">
        <v>-0.21251958491087164</v>
      </c>
      <c r="S310" s="2">
        <v>0.48461921537840325</v>
      </c>
      <c r="T310" s="5">
        <f t="shared" ref="T310:V310" si="616">IFERROR(MROUND(Q310,0.2),-MROUND(ABS(Q310),0.2))</f>
        <v>0.4</v>
      </c>
      <c r="U310" s="5">
        <f t="shared" si="616"/>
        <v>-0.2</v>
      </c>
      <c r="V310" s="5">
        <f t="shared" si="616"/>
        <v>0.4</v>
      </c>
      <c r="W310" s="2">
        <f t="shared" ref="W310:Y310" si="617">Q310^2</f>
        <v>0.18969121006136269</v>
      </c>
      <c r="X310" s="2">
        <f t="shared" si="617"/>
        <v>4.5164573970689181E-2</v>
      </c>
      <c r="Y310" s="2">
        <f t="shared" si="617"/>
        <v>0.23485578391397918</v>
      </c>
    </row>
    <row r="311" spans="1:25" x14ac:dyDescent="0.7">
      <c r="A311" t="s">
        <v>56</v>
      </c>
      <c r="B311" s="3">
        <v>0.65440972222222216</v>
      </c>
      <c r="C311" t="s">
        <v>57</v>
      </c>
      <c r="D311" s="2">
        <v>37.632934999999996</v>
      </c>
      <c r="E311" t="s">
        <v>58</v>
      </c>
      <c r="F311" s="2">
        <v>141.01351500000001</v>
      </c>
      <c r="G311" t="s">
        <v>59</v>
      </c>
      <c r="H311" s="4">
        <v>0</v>
      </c>
      <c r="I311" s="5">
        <v>102.5</v>
      </c>
      <c r="J311">
        <v>170220</v>
      </c>
      <c r="M311" t="s">
        <v>57</v>
      </c>
      <c r="N311" t="s">
        <v>81</v>
      </c>
      <c r="O311" s="2">
        <v>-1.1403508679563856E-6</v>
      </c>
      <c r="P311" s="2">
        <v>2.543859636716661E-6</v>
      </c>
      <c r="Q311" s="2">
        <v>-0.13440918607627972</v>
      </c>
      <c r="R311" s="2">
        <v>0.23280354079412158</v>
      </c>
      <c r="S311" s="2">
        <v>0.26881837356879035</v>
      </c>
      <c r="T311" s="5">
        <f t="shared" ref="T311:V311" si="618">IFERROR(MROUND(Q311,0.2),-MROUND(ABS(Q311),0.2))</f>
        <v>-0.2</v>
      </c>
      <c r="U311" s="5">
        <f t="shared" si="618"/>
        <v>0.2</v>
      </c>
      <c r="V311" s="5">
        <f t="shared" si="618"/>
        <v>0.2</v>
      </c>
      <c r="W311" s="2">
        <f t="shared" ref="W311:Y311" si="619">Q311^2</f>
        <v>1.8065829301687986E-2</v>
      </c>
      <c r="X311" s="2">
        <f t="shared" si="619"/>
        <v>5.4197488606280229E-2</v>
      </c>
      <c r="Y311" s="2">
        <f t="shared" si="619"/>
        <v>7.2263317968169719E-2</v>
      </c>
    </row>
    <row r="312" spans="1:25" x14ac:dyDescent="0.7">
      <c r="A312" t="s">
        <v>56</v>
      </c>
      <c r="B312" s="3">
        <v>0.65446759259259257</v>
      </c>
      <c r="C312" t="s">
        <v>57</v>
      </c>
      <c r="D312" s="2">
        <v>37.632934999999996</v>
      </c>
      <c r="E312" t="s">
        <v>58</v>
      </c>
      <c r="F312" s="2">
        <v>141.01352166666666</v>
      </c>
      <c r="G312" t="s">
        <v>59</v>
      </c>
      <c r="H312" s="4">
        <v>0</v>
      </c>
      <c r="I312" s="5">
        <v>103.3</v>
      </c>
      <c r="J312">
        <v>170220</v>
      </c>
      <c r="M312" t="s">
        <v>57</v>
      </c>
      <c r="N312" t="s">
        <v>79</v>
      </c>
      <c r="O312" s="2">
        <v>-1.1403508679563856E-6</v>
      </c>
      <c r="P312" s="2">
        <v>9.2105262865516124E-6</v>
      </c>
      <c r="Q312" s="2">
        <v>-0.13440918607627972</v>
      </c>
      <c r="R312" s="2">
        <v>0.81203619214792355</v>
      </c>
      <c r="S312" s="2">
        <v>0.82308481137748801</v>
      </c>
      <c r="T312" s="5">
        <f t="shared" ref="T312:V312" si="620">IFERROR(MROUND(Q312,0.2),-MROUND(ABS(Q312),0.2))</f>
        <v>-0.2</v>
      </c>
      <c r="U312" s="5">
        <f t="shared" si="620"/>
        <v>0.8</v>
      </c>
      <c r="V312" s="5">
        <f t="shared" si="620"/>
        <v>0.8</v>
      </c>
      <c r="W312" s="2">
        <f t="shared" ref="W312:Y312" si="621">Q312^2</f>
        <v>1.8065829301687986E-2</v>
      </c>
      <c r="X312" s="2">
        <f t="shared" si="621"/>
        <v>0.65940277735809938</v>
      </c>
      <c r="Y312" s="2">
        <f t="shared" si="621"/>
        <v>0.67746860672031506</v>
      </c>
    </row>
    <row r="313" spans="1:25" x14ac:dyDescent="0.7">
      <c r="A313" t="s">
        <v>56</v>
      </c>
      <c r="B313" s="3">
        <v>0.65447916666666661</v>
      </c>
      <c r="C313" t="s">
        <v>57</v>
      </c>
      <c r="D313" s="2">
        <v>37.632933333333334</v>
      </c>
      <c r="E313" t="s">
        <v>58</v>
      </c>
      <c r="F313" s="2">
        <v>141.01352333333335</v>
      </c>
      <c r="G313" t="s">
        <v>59</v>
      </c>
      <c r="H313" s="4">
        <v>0.55559999999999998</v>
      </c>
      <c r="I313" s="5">
        <v>103.3</v>
      </c>
      <c r="J313">
        <v>170220</v>
      </c>
      <c r="M313" t="s">
        <v>57</v>
      </c>
      <c r="N313" t="s">
        <v>75</v>
      </c>
      <c r="O313" s="2">
        <v>-2.8070175304151235E-6</v>
      </c>
      <c r="P313" s="2">
        <v>1.087719297743206E-5</v>
      </c>
      <c r="Q313" s="2">
        <v>-0.31521748439906938</v>
      </c>
      <c r="R313" s="2">
        <v>0.95987358828375746</v>
      </c>
      <c r="S313" s="2">
        <v>1.0103065708593724</v>
      </c>
      <c r="T313" s="5">
        <f t="shared" ref="T313:V313" si="622">IFERROR(MROUND(Q313,0.2),-MROUND(ABS(Q313),0.2))</f>
        <v>-0.4</v>
      </c>
      <c r="U313" s="5">
        <f t="shared" si="622"/>
        <v>1</v>
      </c>
      <c r="V313" s="5">
        <f t="shared" si="622"/>
        <v>1</v>
      </c>
      <c r="W313" s="2">
        <f t="shared" ref="W313:Y313" si="623">Q313^2</f>
        <v>9.9362062470877546E-2</v>
      </c>
      <c r="X313" s="2">
        <f t="shared" si="623"/>
        <v>0.92135730548473638</v>
      </c>
      <c r="Y313" s="2">
        <f t="shared" si="623"/>
        <v>1.0207193671216239</v>
      </c>
    </row>
    <row r="314" spans="1:25" x14ac:dyDescent="0.7">
      <c r="A314" t="s">
        <v>56</v>
      </c>
      <c r="B314" s="3">
        <v>0.6545023148148148</v>
      </c>
      <c r="C314" t="s">
        <v>57</v>
      </c>
      <c r="D314" s="2">
        <v>37.632936666666666</v>
      </c>
      <c r="E314" t="s">
        <v>58</v>
      </c>
      <c r="F314" s="2">
        <v>141.01352333333335</v>
      </c>
      <c r="G314" t="s">
        <v>59</v>
      </c>
      <c r="H314" s="4">
        <v>0.74080000000000013</v>
      </c>
      <c r="I314" s="5">
        <v>103.3</v>
      </c>
      <c r="J314">
        <v>170220</v>
      </c>
      <c r="M314" t="s">
        <v>57</v>
      </c>
      <c r="N314" t="s">
        <v>80</v>
      </c>
      <c r="O314" s="2">
        <v>5.2631580160777958E-7</v>
      </c>
      <c r="P314" s="2">
        <v>1.087719297743206E-5</v>
      </c>
      <c r="Q314" s="2">
        <v>9.5041647553443909E-2</v>
      </c>
      <c r="R314" s="2">
        <v>0.95987358828375746</v>
      </c>
      <c r="S314" s="2">
        <v>0.95987358828375746</v>
      </c>
      <c r="T314" s="5">
        <f t="shared" ref="T314:V314" si="624">IFERROR(MROUND(Q314,0.2),-MROUND(ABS(Q314),0.2))</f>
        <v>0</v>
      </c>
      <c r="U314" s="5">
        <f t="shared" si="624"/>
        <v>1</v>
      </c>
      <c r="V314" s="5">
        <f t="shared" si="624"/>
        <v>1</v>
      </c>
      <c r="W314" s="2">
        <f t="shared" ref="W314:Y314" si="625">Q314^2</f>
        <v>9.0329147696730505E-3</v>
      </c>
      <c r="X314" s="2">
        <f t="shared" si="625"/>
        <v>0.92135730548473638</v>
      </c>
      <c r="Y314" s="2">
        <f t="shared" si="625"/>
        <v>0.92135730548473638</v>
      </c>
    </row>
    <row r="315" spans="1:25" x14ac:dyDescent="0.7">
      <c r="A315" t="s">
        <v>56</v>
      </c>
      <c r="B315" s="3">
        <v>0.65451388888888895</v>
      </c>
      <c r="C315" t="s">
        <v>57</v>
      </c>
      <c r="D315" s="2">
        <v>37.632936666666666</v>
      </c>
      <c r="E315" t="s">
        <v>58</v>
      </c>
      <c r="F315" s="2">
        <v>141.01352166666666</v>
      </c>
      <c r="G315" t="s">
        <v>59</v>
      </c>
      <c r="H315" s="4">
        <v>0</v>
      </c>
      <c r="I315" s="5">
        <v>103.3</v>
      </c>
      <c r="J315">
        <v>170220</v>
      </c>
      <c r="M315" t="s">
        <v>57</v>
      </c>
      <c r="N315" t="s">
        <v>75</v>
      </c>
      <c r="O315" s="2">
        <v>5.2631580160777958E-7</v>
      </c>
      <c r="P315" s="2">
        <v>9.2105262865516124E-6</v>
      </c>
      <c r="Q315" s="2">
        <v>9.5041647553443909E-2</v>
      </c>
      <c r="R315" s="2">
        <v>0.81203619214792355</v>
      </c>
      <c r="S315" s="2">
        <v>0.81203619214792355</v>
      </c>
      <c r="T315" s="5">
        <f t="shared" ref="T315:V315" si="626">IFERROR(MROUND(Q315,0.2),-MROUND(ABS(Q315),0.2))</f>
        <v>0</v>
      </c>
      <c r="U315" s="5">
        <f t="shared" si="626"/>
        <v>0.8</v>
      </c>
      <c r="V315" s="5">
        <f t="shared" si="626"/>
        <v>0.8</v>
      </c>
      <c r="W315" s="2">
        <f t="shared" ref="W315:Y315" si="627">Q315^2</f>
        <v>9.0329147696730505E-3</v>
      </c>
      <c r="X315" s="2">
        <f t="shared" si="627"/>
        <v>0.65940277735809938</v>
      </c>
      <c r="Y315" s="2">
        <f t="shared" si="627"/>
        <v>0.65940277735809938</v>
      </c>
    </row>
    <row r="316" spans="1:25" x14ac:dyDescent="0.7">
      <c r="A316" t="s">
        <v>56</v>
      </c>
      <c r="B316" s="3">
        <v>0.65452546296296299</v>
      </c>
      <c r="C316" t="s">
        <v>57</v>
      </c>
      <c r="D316" s="2">
        <v>37.632933333333334</v>
      </c>
      <c r="E316" t="s">
        <v>58</v>
      </c>
      <c r="F316" s="2">
        <v>141.01351666666667</v>
      </c>
      <c r="G316" t="s">
        <v>59</v>
      </c>
      <c r="H316" s="4">
        <v>0.74080000000000013</v>
      </c>
      <c r="I316" s="5">
        <v>103.3</v>
      </c>
      <c r="J316">
        <v>170220</v>
      </c>
      <c r="M316" t="s">
        <v>57</v>
      </c>
      <c r="N316" t="s">
        <v>79</v>
      </c>
      <c r="O316" s="2">
        <v>-2.8070175304151235E-6</v>
      </c>
      <c r="P316" s="2">
        <v>4.2105262991753989E-6</v>
      </c>
      <c r="Q316" s="2">
        <v>-0.31521748439906938</v>
      </c>
      <c r="R316" s="2">
        <v>0.36809471724311571</v>
      </c>
      <c r="S316" s="2">
        <v>0.48461921537840325</v>
      </c>
      <c r="T316" s="5">
        <f t="shared" ref="T316:V316" si="628">IFERROR(MROUND(Q316,0.2),-MROUND(ABS(Q316),0.2))</f>
        <v>-0.4</v>
      </c>
      <c r="U316" s="5">
        <f t="shared" si="628"/>
        <v>0.4</v>
      </c>
      <c r="V316" s="5">
        <f t="shared" si="628"/>
        <v>0.4</v>
      </c>
      <c r="W316" s="2">
        <f t="shared" ref="W316:Y316" si="629">Q316^2</f>
        <v>9.9362062470877546E-2</v>
      </c>
      <c r="X316" s="2">
        <f t="shared" si="629"/>
        <v>0.13549372086228931</v>
      </c>
      <c r="Y316" s="2">
        <f t="shared" si="629"/>
        <v>0.23485578391397918</v>
      </c>
    </row>
    <row r="317" spans="1:25" x14ac:dyDescent="0.7">
      <c r="A317" t="s">
        <v>56</v>
      </c>
      <c r="B317" s="3">
        <v>0.65453703703703703</v>
      </c>
      <c r="C317" t="s">
        <v>57</v>
      </c>
      <c r="D317" s="2">
        <v>37.632930000000002</v>
      </c>
      <c r="E317" t="s">
        <v>58</v>
      </c>
      <c r="F317" s="2">
        <v>141.01351166666666</v>
      </c>
      <c r="G317" t="s">
        <v>59</v>
      </c>
      <c r="H317" s="4">
        <v>0</v>
      </c>
      <c r="I317" s="5">
        <v>103.3</v>
      </c>
      <c r="J317">
        <v>170220</v>
      </c>
      <c r="M317" t="s">
        <v>57</v>
      </c>
      <c r="N317" t="s">
        <v>82</v>
      </c>
      <c r="O317" s="2">
        <v>-6.1403508624380265E-6</v>
      </c>
      <c r="P317" s="2">
        <v>-7.8947371662252408E-7</v>
      </c>
      <c r="Q317" s="2">
        <v>-0.68535506657847467</v>
      </c>
      <c r="R317" s="2">
        <v>-9.5041647553443909E-2</v>
      </c>
      <c r="S317" s="2">
        <v>0.69191363758910285</v>
      </c>
      <c r="T317" s="5">
        <f t="shared" ref="T317:V317" si="630">IFERROR(MROUND(Q317,0.2),-MROUND(ABS(Q317),0.2))</f>
        <v>-0.60000000000000009</v>
      </c>
      <c r="U317" s="5">
        <f t="shared" si="630"/>
        <v>0</v>
      </c>
      <c r="V317" s="5">
        <f t="shared" si="630"/>
        <v>0.60000000000000009</v>
      </c>
      <c r="W317" s="2">
        <f t="shared" ref="W317:Y317" si="631">Q317^2</f>
        <v>0.46971156728478547</v>
      </c>
      <c r="X317" s="2">
        <f t="shared" si="631"/>
        <v>9.0329147696730505E-3</v>
      </c>
      <c r="Y317" s="2">
        <f t="shared" si="631"/>
        <v>0.47874448188178437</v>
      </c>
    </row>
    <row r="318" spans="1:25" x14ac:dyDescent="0.7">
      <c r="A318" t="s">
        <v>56</v>
      </c>
      <c r="B318" s="3">
        <v>0.65454861111111107</v>
      </c>
      <c r="C318" t="s">
        <v>57</v>
      </c>
      <c r="D318" s="2">
        <v>37.632928333333332</v>
      </c>
      <c r="E318" t="s">
        <v>58</v>
      </c>
      <c r="F318" s="2">
        <v>141.01351000000003</v>
      </c>
      <c r="G318" t="s">
        <v>59</v>
      </c>
      <c r="H318" s="4">
        <v>0</v>
      </c>
      <c r="I318" s="5">
        <v>103.3</v>
      </c>
      <c r="J318">
        <v>170220</v>
      </c>
      <c r="M318" t="s">
        <v>57</v>
      </c>
      <c r="N318" t="s">
        <v>76</v>
      </c>
      <c r="O318" s="2">
        <v>-7.8070175320021917E-6</v>
      </c>
      <c r="P318" s="2">
        <v>-2.4561403506595525E-6</v>
      </c>
      <c r="Q318" s="2">
        <v>-0.86587061722602243</v>
      </c>
      <c r="R318" s="2">
        <v>-0.21251958491087164</v>
      </c>
      <c r="S318" s="2">
        <v>0.8915696821153678</v>
      </c>
      <c r="T318" s="5">
        <f t="shared" ref="T318:V318" si="632">IFERROR(MROUND(Q318,0.2),-MROUND(ABS(Q318),0.2))</f>
        <v>-0.8</v>
      </c>
      <c r="U318" s="5">
        <f t="shared" si="632"/>
        <v>-0.2</v>
      </c>
      <c r="V318" s="5">
        <f t="shared" si="632"/>
        <v>0.8</v>
      </c>
      <c r="W318" s="2">
        <f t="shared" ref="W318:Y318" si="633">Q318^2</f>
        <v>0.74973192577537306</v>
      </c>
      <c r="X318" s="2">
        <f t="shared" si="633"/>
        <v>4.5164573970689181E-2</v>
      </c>
      <c r="Y318" s="2">
        <f t="shared" si="633"/>
        <v>0.79489649806729801</v>
      </c>
    </row>
    <row r="319" spans="1:25" x14ac:dyDescent="0.7">
      <c r="A319" t="s">
        <v>56</v>
      </c>
      <c r="B319" s="3">
        <v>0.65456018518518522</v>
      </c>
      <c r="C319" t="s">
        <v>57</v>
      </c>
      <c r="D319" s="2">
        <v>37.632928333333332</v>
      </c>
      <c r="E319" t="s">
        <v>58</v>
      </c>
      <c r="F319" s="2">
        <v>141.01350833333333</v>
      </c>
      <c r="G319" t="s">
        <v>59</v>
      </c>
      <c r="H319" s="4">
        <v>0</v>
      </c>
      <c r="I319" s="5">
        <v>103.3</v>
      </c>
      <c r="J319">
        <v>170220</v>
      </c>
      <c r="M319" t="s">
        <v>57</v>
      </c>
      <c r="N319" t="s">
        <v>74</v>
      </c>
      <c r="O319" s="2">
        <v>-7.8070175320021917E-6</v>
      </c>
      <c r="P319" s="2">
        <v>-4.1228070415399998E-6</v>
      </c>
      <c r="Q319" s="2">
        <v>-0.86587061722602243</v>
      </c>
      <c r="R319" s="2">
        <v>-0.36809471724311571</v>
      </c>
      <c r="S319" s="2">
        <v>0.94086430819888167</v>
      </c>
      <c r="T319" s="5">
        <f t="shared" ref="T319:V319" si="634">IFERROR(MROUND(Q319,0.2),-MROUND(ABS(Q319),0.2))</f>
        <v>-0.8</v>
      </c>
      <c r="U319" s="5">
        <f t="shared" si="634"/>
        <v>-0.4</v>
      </c>
      <c r="V319" s="5">
        <f t="shared" si="634"/>
        <v>1</v>
      </c>
      <c r="W319" s="2">
        <f t="shared" ref="W319:Y319" si="635">Q319^2</f>
        <v>0.74973192577537306</v>
      </c>
      <c r="X319" s="2">
        <f t="shared" si="635"/>
        <v>0.13549372086228931</v>
      </c>
      <c r="Y319" s="2">
        <f t="shared" si="635"/>
        <v>0.88522564644256019</v>
      </c>
    </row>
    <row r="320" spans="1:25" x14ac:dyDescent="0.7">
      <c r="A320" t="s">
        <v>56</v>
      </c>
      <c r="B320" s="3">
        <v>0.65457175925925926</v>
      </c>
      <c r="C320" t="s">
        <v>57</v>
      </c>
      <c r="D320" s="2">
        <v>37.632930000000002</v>
      </c>
      <c r="E320" t="s">
        <v>58</v>
      </c>
      <c r="F320" s="2">
        <v>141.01350666666667</v>
      </c>
      <c r="G320" t="s">
        <v>59</v>
      </c>
      <c r="H320" s="4">
        <v>0.55559999999999998</v>
      </c>
      <c r="I320" s="5">
        <v>103.3</v>
      </c>
      <c r="J320">
        <v>170220</v>
      </c>
      <c r="M320" t="s">
        <v>57</v>
      </c>
      <c r="N320" t="s">
        <v>83</v>
      </c>
      <c r="O320" s="2">
        <v>-6.1403508624380265E-6</v>
      </c>
      <c r="P320" s="2">
        <v>-5.7894737039987376E-6</v>
      </c>
      <c r="Q320" s="2">
        <v>-0.68535506657847467</v>
      </c>
      <c r="R320" s="2">
        <v>-0.51181493468277584</v>
      </c>
      <c r="S320" s="2">
        <v>0.85537482798099518</v>
      </c>
      <c r="T320" s="5">
        <f t="shared" ref="T320:V320" si="636">IFERROR(MROUND(Q320,0.2),-MROUND(ABS(Q320),0.2))</f>
        <v>-0.60000000000000009</v>
      </c>
      <c r="U320" s="5">
        <f t="shared" si="636"/>
        <v>-0.60000000000000009</v>
      </c>
      <c r="V320" s="5">
        <f t="shared" si="636"/>
        <v>0.8</v>
      </c>
      <c r="W320" s="2">
        <f t="shared" ref="W320:Y320" si="637">Q320^2</f>
        <v>0.46971156728478547</v>
      </c>
      <c r="X320" s="2">
        <f t="shared" si="637"/>
        <v>0.26195452736433411</v>
      </c>
      <c r="Y320" s="2">
        <f t="shared" si="637"/>
        <v>0.73166609634351709</v>
      </c>
    </row>
    <row r="321" spans="1:25" x14ac:dyDescent="0.7">
      <c r="A321" t="s">
        <v>56</v>
      </c>
      <c r="B321" s="3">
        <v>0.65459490740740744</v>
      </c>
      <c r="C321" t="s">
        <v>57</v>
      </c>
      <c r="D321" s="2">
        <v>37.632930000000002</v>
      </c>
      <c r="E321" t="s">
        <v>58</v>
      </c>
      <c r="F321" s="2">
        <v>141.01350499999998</v>
      </c>
      <c r="G321" t="s">
        <v>59</v>
      </c>
      <c r="H321" s="4">
        <v>0</v>
      </c>
      <c r="I321" s="5">
        <v>103.3</v>
      </c>
      <c r="J321">
        <v>170220</v>
      </c>
      <c r="M321" t="s">
        <v>57</v>
      </c>
      <c r="N321" t="s">
        <v>81</v>
      </c>
      <c r="O321" s="2">
        <v>-6.1403508624380265E-6</v>
      </c>
      <c r="P321" s="2">
        <v>-7.4561403948791849E-6</v>
      </c>
      <c r="Q321" s="2">
        <v>-0.68535506657847467</v>
      </c>
      <c r="R321" s="2">
        <v>-0.65846784910199041</v>
      </c>
      <c r="S321" s="2">
        <v>0.95041647553443909</v>
      </c>
      <c r="T321" s="5">
        <f t="shared" ref="T321:V321" si="638">IFERROR(MROUND(Q321,0.2),-MROUND(ABS(Q321),0.2))</f>
        <v>-0.60000000000000009</v>
      </c>
      <c r="U321" s="5">
        <f t="shared" si="638"/>
        <v>-0.60000000000000009</v>
      </c>
      <c r="V321" s="5">
        <f t="shared" si="638"/>
        <v>1</v>
      </c>
      <c r="W321" s="2">
        <f t="shared" ref="W321:Y321" si="639">Q321^2</f>
        <v>0.46971156728478547</v>
      </c>
      <c r="X321" s="2">
        <f t="shared" si="639"/>
        <v>0.43357990830100163</v>
      </c>
      <c r="Y321" s="2">
        <f t="shared" si="639"/>
        <v>0.90329147696730505</v>
      </c>
    </row>
    <row r="322" spans="1:25" x14ac:dyDescent="0.7">
      <c r="A322" t="s">
        <v>56</v>
      </c>
      <c r="B322" s="3">
        <v>0.65461805555555552</v>
      </c>
      <c r="C322" t="s">
        <v>57</v>
      </c>
      <c r="D322" s="2">
        <v>37.632931666666664</v>
      </c>
      <c r="E322" t="s">
        <v>58</v>
      </c>
      <c r="F322" s="2">
        <v>141.01350833333333</v>
      </c>
      <c r="G322" t="s">
        <v>59</v>
      </c>
      <c r="H322" s="4">
        <v>0</v>
      </c>
      <c r="I322" s="5">
        <v>103.3</v>
      </c>
      <c r="J322">
        <v>170220</v>
      </c>
      <c r="M322" t="s">
        <v>57</v>
      </c>
      <c r="N322" t="s">
        <v>78</v>
      </c>
      <c r="O322" s="2">
        <v>-4.4736841999792887E-6</v>
      </c>
      <c r="P322" s="2">
        <v>-4.1228070415399998E-6</v>
      </c>
      <c r="Q322" s="2">
        <v>-0.50291312748962591</v>
      </c>
      <c r="R322" s="2">
        <v>-0.36809471724311571</v>
      </c>
      <c r="S322" s="2">
        <v>0.62322976091616633</v>
      </c>
      <c r="T322" s="5">
        <f t="shared" ref="T322:V322" si="640">IFERROR(MROUND(Q322,0.2),-MROUND(ABS(Q322),0.2))</f>
        <v>-0.60000000000000009</v>
      </c>
      <c r="U322" s="5">
        <f t="shared" si="640"/>
        <v>-0.4</v>
      </c>
      <c r="V322" s="5">
        <f t="shared" si="640"/>
        <v>0.60000000000000009</v>
      </c>
      <c r="W322" s="2">
        <f t="shared" ref="W322:Y322" si="641">Q322^2</f>
        <v>0.25292161380139672</v>
      </c>
      <c r="X322" s="2">
        <f t="shared" si="641"/>
        <v>0.13549372086228931</v>
      </c>
      <c r="Y322" s="2">
        <f t="shared" si="641"/>
        <v>0.38841533489162183</v>
      </c>
    </row>
    <row r="323" spans="1:25" x14ac:dyDescent="0.7">
      <c r="A323" t="s">
        <v>56</v>
      </c>
      <c r="B323" s="3">
        <v>0.65543981481481484</v>
      </c>
      <c r="C323" t="s">
        <v>57</v>
      </c>
      <c r="D323" s="2">
        <v>37.632931666666664</v>
      </c>
      <c r="E323" t="s">
        <v>58</v>
      </c>
      <c r="F323" s="2">
        <v>141.01355666666666</v>
      </c>
      <c r="G323" t="s">
        <v>59</v>
      </c>
      <c r="H323" s="4">
        <v>0</v>
      </c>
      <c r="I323" s="5">
        <v>84.4</v>
      </c>
      <c r="J323">
        <v>170220</v>
      </c>
      <c r="M323" t="s">
        <v>57</v>
      </c>
      <c r="N323" t="s">
        <v>90</v>
      </c>
      <c r="O323" s="2">
        <v>7.7777777747201071E-6</v>
      </c>
      <c r="P323" s="2">
        <v>-9.3650793928645726E-6</v>
      </c>
      <c r="Q323" s="2">
        <v>0.86587061722602243</v>
      </c>
      <c r="R323" s="2">
        <v>-0.81757916556175747</v>
      </c>
      <c r="S323" s="2">
        <v>1.1946549847666921</v>
      </c>
      <c r="T323" s="5">
        <f t="shared" ref="T323:V323" si="642">IFERROR(MROUND(Q323,0.2),-MROUND(ABS(Q323),0.2))</f>
        <v>0.8</v>
      </c>
      <c r="U323" s="5">
        <f t="shared" si="642"/>
        <v>-0.8</v>
      </c>
      <c r="V323" s="5">
        <f t="shared" si="642"/>
        <v>1.2000000000000002</v>
      </c>
      <c r="W323" s="2">
        <f t="shared" ref="W323:Y323" si="643">Q323^2</f>
        <v>0.74973192577537306</v>
      </c>
      <c r="X323" s="2">
        <f t="shared" si="643"/>
        <v>0.66843569196065966</v>
      </c>
      <c r="Y323" s="2">
        <f t="shared" si="643"/>
        <v>1.4272005326279054</v>
      </c>
    </row>
    <row r="324" spans="1:25" x14ac:dyDescent="0.7">
      <c r="A324" t="s">
        <v>56</v>
      </c>
      <c r="B324" s="3">
        <v>0.65545138888888888</v>
      </c>
      <c r="C324" t="s">
        <v>57</v>
      </c>
      <c r="D324" s="2">
        <v>37.632931666666664</v>
      </c>
      <c r="E324" t="s">
        <v>58</v>
      </c>
      <c r="F324" s="2">
        <v>141.013555</v>
      </c>
      <c r="G324" t="s">
        <v>59</v>
      </c>
      <c r="H324" s="4">
        <v>0</v>
      </c>
      <c r="I324" s="5">
        <v>84.4</v>
      </c>
      <c r="J324">
        <v>170220</v>
      </c>
      <c r="M324" t="s">
        <v>57</v>
      </c>
      <c r="N324" t="s">
        <v>66</v>
      </c>
      <c r="O324" s="2">
        <v>7.7777777747201071E-6</v>
      </c>
      <c r="P324" s="2">
        <v>-1.103174605532331E-5</v>
      </c>
      <c r="Q324" s="2">
        <v>0.86587061722602243</v>
      </c>
      <c r="R324" s="2">
        <v>-0.96923843075680649</v>
      </c>
      <c r="S324" s="2">
        <v>1.3031454159661244</v>
      </c>
      <c r="T324" s="5">
        <f t="shared" ref="T324:V324" si="644">IFERROR(MROUND(Q324,0.2),-MROUND(ABS(Q324),0.2))</f>
        <v>0.8</v>
      </c>
      <c r="U324" s="5">
        <f t="shared" si="644"/>
        <v>-1</v>
      </c>
      <c r="V324" s="5">
        <f t="shared" si="644"/>
        <v>1.4000000000000001</v>
      </c>
      <c r="W324" s="2">
        <f t="shared" ref="W324:Y324" si="645">Q324^2</f>
        <v>0.74973192577537306</v>
      </c>
      <c r="X324" s="2">
        <f t="shared" si="645"/>
        <v>0.93942313565591673</v>
      </c>
      <c r="Y324" s="2">
        <f t="shared" si="645"/>
        <v>1.6981879751535234</v>
      </c>
    </row>
    <row r="325" spans="1:25" x14ac:dyDescent="0.7">
      <c r="A325" t="s">
        <v>56</v>
      </c>
      <c r="B325" s="3">
        <v>0.65546296296296302</v>
      </c>
      <c r="C325" t="s">
        <v>57</v>
      </c>
      <c r="D325" s="2">
        <v>37.632930000000002</v>
      </c>
      <c r="E325" t="s">
        <v>58</v>
      </c>
      <c r="F325" s="2">
        <v>141.013555</v>
      </c>
      <c r="G325" t="s">
        <v>59</v>
      </c>
      <c r="H325" s="4">
        <v>0.37040000000000006</v>
      </c>
      <c r="I325" s="5">
        <v>84.4</v>
      </c>
      <c r="J325">
        <v>170220</v>
      </c>
      <c r="M325" t="s">
        <v>57</v>
      </c>
      <c r="N325" t="s">
        <v>66</v>
      </c>
      <c r="O325" s="2">
        <v>6.1111111122613693E-6</v>
      </c>
      <c r="P325" s="2">
        <v>-1.103174605532331E-5</v>
      </c>
      <c r="Q325" s="2">
        <v>0.67873312348330228</v>
      </c>
      <c r="R325" s="2">
        <v>-0.96923843075680649</v>
      </c>
      <c r="S325" s="2">
        <v>1.1870697964665564</v>
      </c>
      <c r="T325" s="5">
        <f t="shared" ref="T325:V325" si="646">IFERROR(MROUND(Q325,0.2),-MROUND(ABS(Q325),0.2))</f>
        <v>0.60000000000000009</v>
      </c>
      <c r="U325" s="5">
        <f t="shared" si="646"/>
        <v>-1</v>
      </c>
      <c r="V325" s="5">
        <f t="shared" si="646"/>
        <v>1.2000000000000002</v>
      </c>
      <c r="W325" s="2">
        <f t="shared" ref="W325:Y325" si="647">Q325^2</f>
        <v>0.46067865291339966</v>
      </c>
      <c r="X325" s="2">
        <f t="shared" si="647"/>
        <v>0.93942313565591673</v>
      </c>
      <c r="Y325" s="2">
        <f t="shared" si="647"/>
        <v>1.4091347016831517</v>
      </c>
    </row>
    <row r="326" spans="1:25" x14ac:dyDescent="0.7">
      <c r="A326" t="s">
        <v>56</v>
      </c>
      <c r="B326" s="3">
        <v>0.65547453703703706</v>
      </c>
      <c r="C326" t="s">
        <v>57</v>
      </c>
      <c r="D326" s="2">
        <v>37.63292666666667</v>
      </c>
      <c r="E326" t="s">
        <v>58</v>
      </c>
      <c r="F326" s="2">
        <v>141.013555</v>
      </c>
      <c r="G326" t="s">
        <v>59</v>
      </c>
      <c r="H326" s="4">
        <v>0.37040000000000006</v>
      </c>
      <c r="I326" s="5">
        <v>84.4</v>
      </c>
      <c r="J326">
        <v>170220</v>
      </c>
      <c r="M326" t="s">
        <v>57</v>
      </c>
      <c r="N326" t="s">
        <v>88</v>
      </c>
      <c r="O326" s="2">
        <v>2.7777777802384662E-6</v>
      </c>
      <c r="P326" s="2">
        <v>-1.103174605532331E-5</v>
      </c>
      <c r="Q326" s="2">
        <v>0.30054807823986107</v>
      </c>
      <c r="R326" s="2">
        <v>-0.96923843075680649</v>
      </c>
      <c r="S326" s="2">
        <v>1.0192081231309584</v>
      </c>
      <c r="T326" s="5">
        <f t="shared" ref="T326:V326" si="648">IFERROR(MROUND(Q326,0.2),-MROUND(ABS(Q326),0.2))</f>
        <v>0.4</v>
      </c>
      <c r="U326" s="5">
        <f t="shared" si="648"/>
        <v>-1</v>
      </c>
      <c r="V326" s="5">
        <f t="shared" si="648"/>
        <v>1</v>
      </c>
      <c r="W326" s="2">
        <f t="shared" ref="W326:Y326" si="649">Q326^2</f>
        <v>9.0329147333673657E-2</v>
      </c>
      <c r="X326" s="2">
        <f t="shared" si="649"/>
        <v>0.93942313565591673</v>
      </c>
      <c r="Y326" s="2">
        <f t="shared" si="649"/>
        <v>1.0387851982561309</v>
      </c>
    </row>
    <row r="327" spans="1:25" x14ac:dyDescent="0.7">
      <c r="A327" t="s">
        <v>56</v>
      </c>
      <c r="B327" s="3">
        <v>0.6554861111111111</v>
      </c>
      <c r="C327" t="s">
        <v>57</v>
      </c>
      <c r="D327" s="2">
        <v>37.632923333333331</v>
      </c>
      <c r="E327" t="s">
        <v>58</v>
      </c>
      <c r="F327" s="2">
        <v>141.01355333333333</v>
      </c>
      <c r="G327" t="s">
        <v>59</v>
      </c>
      <c r="H327" s="4">
        <v>0</v>
      </c>
      <c r="I327" s="5">
        <v>84.4</v>
      </c>
      <c r="J327">
        <v>170220</v>
      </c>
      <c r="M327" t="s">
        <v>57</v>
      </c>
      <c r="N327" t="s">
        <v>68</v>
      </c>
      <c r="O327" s="2">
        <v>-5.5555555888986419E-7</v>
      </c>
      <c r="P327" s="2">
        <v>-1.2698412717782048E-5</v>
      </c>
      <c r="Q327" s="2">
        <v>0</v>
      </c>
      <c r="R327" s="2">
        <v>-1.1164865587030115</v>
      </c>
      <c r="S327" s="2">
        <v>1.1164865587030115</v>
      </c>
      <c r="T327" s="5">
        <f t="shared" ref="T327:V327" si="650">IFERROR(MROUND(Q327,0.2),-MROUND(ABS(Q327),0.2))</f>
        <v>0</v>
      </c>
      <c r="U327" s="5">
        <f t="shared" si="650"/>
        <v>-1.2000000000000002</v>
      </c>
      <c r="V327" s="5">
        <f t="shared" si="650"/>
        <v>1.2000000000000002</v>
      </c>
      <c r="W327" s="2">
        <f t="shared" ref="W327:Y327" si="651">Q327^2</f>
        <v>0</v>
      </c>
      <c r="X327" s="2">
        <f t="shared" si="651"/>
        <v>1.2465422357644931</v>
      </c>
      <c r="Y327" s="2">
        <f t="shared" si="651"/>
        <v>1.2465422357644931</v>
      </c>
    </row>
    <row r="328" spans="1:25" x14ac:dyDescent="0.7">
      <c r="A328" t="s">
        <v>56</v>
      </c>
      <c r="B328" s="3">
        <v>0.65550925925925929</v>
      </c>
      <c r="C328" t="s">
        <v>57</v>
      </c>
      <c r="D328" s="2">
        <v>37.632918333333336</v>
      </c>
      <c r="E328" t="s">
        <v>58</v>
      </c>
      <c r="F328" s="2">
        <v>141.013555</v>
      </c>
      <c r="G328" t="s">
        <v>59</v>
      </c>
      <c r="H328" s="4">
        <v>0.37040000000000006</v>
      </c>
      <c r="I328" s="5">
        <v>84.4</v>
      </c>
      <c r="J328">
        <v>170220</v>
      </c>
      <c r="M328" t="s">
        <v>57</v>
      </c>
      <c r="N328" t="s">
        <v>64</v>
      </c>
      <c r="O328" s="2">
        <v>-5.5555555533715051E-6</v>
      </c>
      <c r="P328" s="2">
        <v>-1.103174605532331E-5</v>
      </c>
      <c r="Q328" s="2">
        <v>-0.60856347612988437</v>
      </c>
      <c r="R328" s="2">
        <v>-0.96923843075680649</v>
      </c>
      <c r="S328" s="2">
        <v>1.1483925968684956</v>
      </c>
      <c r="T328" s="5">
        <f t="shared" ref="T328:V328" si="652">IFERROR(MROUND(Q328,0.2),-MROUND(ABS(Q328),0.2))</f>
        <v>-0.60000000000000009</v>
      </c>
      <c r="U328" s="5">
        <f t="shared" si="652"/>
        <v>-1</v>
      </c>
      <c r="V328" s="5">
        <f t="shared" si="652"/>
        <v>1.2000000000000002</v>
      </c>
      <c r="W328" s="2">
        <f t="shared" ref="W328:Y328" si="653">Q328^2</f>
        <v>0.37034950447928833</v>
      </c>
      <c r="X328" s="2">
        <f t="shared" si="653"/>
        <v>0.93942313565591673</v>
      </c>
      <c r="Y328" s="2">
        <f t="shared" si="653"/>
        <v>1.3188055565423671</v>
      </c>
    </row>
    <row r="329" spans="1:25" x14ac:dyDescent="0.7">
      <c r="A329" t="s">
        <v>56</v>
      </c>
      <c r="B329" s="3">
        <v>0.65552083333333333</v>
      </c>
      <c r="C329" t="s">
        <v>57</v>
      </c>
      <c r="D329" s="2">
        <v>37.632915000000004</v>
      </c>
      <c r="E329" t="s">
        <v>58</v>
      </c>
      <c r="F329" s="2">
        <v>141.01355833333335</v>
      </c>
      <c r="G329" t="s">
        <v>59</v>
      </c>
      <c r="H329" s="4">
        <v>0.37040000000000006</v>
      </c>
      <c r="I329" s="5">
        <v>84.4</v>
      </c>
      <c r="J329">
        <v>170220</v>
      </c>
      <c r="M329" t="s">
        <v>57</v>
      </c>
      <c r="N329" t="s">
        <v>60</v>
      </c>
      <c r="O329" s="2">
        <v>-8.8888888853944081E-6</v>
      </c>
      <c r="P329" s="2">
        <v>-7.6984127019841253E-6</v>
      </c>
      <c r="Q329" s="2">
        <v>-0.98770177365298562</v>
      </c>
      <c r="R329" s="2">
        <v>-0.67204593463009132</v>
      </c>
      <c r="S329" s="2">
        <v>1.1984295757894279</v>
      </c>
      <c r="T329" s="5">
        <f t="shared" ref="T329:V329" si="654">IFERROR(MROUND(Q329,0.2),-MROUND(ABS(Q329),0.2))</f>
        <v>-1</v>
      </c>
      <c r="U329" s="5">
        <f t="shared" si="654"/>
        <v>-0.60000000000000009</v>
      </c>
      <c r="V329" s="5">
        <f t="shared" si="654"/>
        <v>1.2000000000000002</v>
      </c>
      <c r="W329" s="2">
        <f t="shared" ref="W329:Y329" si="655">Q329^2</f>
        <v>0.97555479367725362</v>
      </c>
      <c r="X329" s="2">
        <f t="shared" si="655"/>
        <v>0.451645738252833</v>
      </c>
      <c r="Y329" s="2">
        <f t="shared" si="655"/>
        <v>1.436233448126828</v>
      </c>
    </row>
    <row r="330" spans="1:25" x14ac:dyDescent="0.7">
      <c r="A330" t="s">
        <v>56</v>
      </c>
      <c r="B330" s="3">
        <v>0.65555555555555556</v>
      </c>
      <c r="C330" t="s">
        <v>57</v>
      </c>
      <c r="D330" s="2">
        <v>37.632916666666667</v>
      </c>
      <c r="E330" t="s">
        <v>58</v>
      </c>
      <c r="F330" s="2">
        <v>141.01357000000002</v>
      </c>
      <c r="G330" t="s">
        <v>59</v>
      </c>
      <c r="H330" s="4">
        <v>0.55559999999999998</v>
      </c>
      <c r="I330" s="5">
        <v>84.4</v>
      </c>
      <c r="J330">
        <v>170220</v>
      </c>
      <c r="M330" t="s">
        <v>57</v>
      </c>
      <c r="N330" t="s">
        <v>88</v>
      </c>
      <c r="O330" s="2">
        <v>-7.2222222229356703E-6</v>
      </c>
      <c r="P330" s="2">
        <v>3.968253963648749E-6</v>
      </c>
      <c r="Q330" s="2">
        <v>-0.80083515673155925</v>
      </c>
      <c r="R330" s="2">
        <v>0.34267753328923733</v>
      </c>
      <c r="S330" s="2">
        <v>0.87624069473429489</v>
      </c>
      <c r="T330" s="5">
        <f t="shared" ref="T330:V330" si="656">IFERROR(MROUND(Q330,0.2),-MROUND(ABS(Q330),0.2))</f>
        <v>-0.8</v>
      </c>
      <c r="U330" s="5">
        <f t="shared" si="656"/>
        <v>0.4</v>
      </c>
      <c r="V330" s="5">
        <f t="shared" si="656"/>
        <v>0.8</v>
      </c>
      <c r="W330" s="2">
        <f t="shared" ref="W330:Y330" si="657">Q330^2</f>
        <v>0.64133694825726106</v>
      </c>
      <c r="X330" s="2">
        <f t="shared" si="657"/>
        <v>0.11742789182119637</v>
      </c>
      <c r="Y330" s="2">
        <f t="shared" si="657"/>
        <v>0.76779775510843973</v>
      </c>
    </row>
    <row r="331" spans="1:25" x14ac:dyDescent="0.7">
      <c r="A331" t="s">
        <v>56</v>
      </c>
      <c r="B331" s="3">
        <v>0.6555671296296296</v>
      </c>
      <c r="C331" t="s">
        <v>57</v>
      </c>
      <c r="D331" s="2">
        <v>37.632916666666667</v>
      </c>
      <c r="E331" t="s">
        <v>58</v>
      </c>
      <c r="F331" s="2">
        <v>141.01357333333331</v>
      </c>
      <c r="G331" t="s">
        <v>59</v>
      </c>
      <c r="H331" s="4">
        <v>0</v>
      </c>
      <c r="I331" s="5">
        <v>84.4</v>
      </c>
      <c r="J331">
        <v>170220</v>
      </c>
      <c r="M331" t="s">
        <v>57</v>
      </c>
      <c r="N331" t="s">
        <v>89</v>
      </c>
      <c r="O331" s="2">
        <v>-7.2222222229356703E-6</v>
      </c>
      <c r="P331" s="2">
        <v>7.3015872601445153E-6</v>
      </c>
      <c r="Q331" s="2">
        <v>-0.80083515673155925</v>
      </c>
      <c r="R331" s="2">
        <v>0.63755875331638401</v>
      </c>
      <c r="S331" s="2">
        <v>1.028032599867712</v>
      </c>
      <c r="T331" s="5">
        <f t="shared" ref="T331:V331" si="658">IFERROR(MROUND(Q331,0.2),-MROUND(ABS(Q331),0.2))</f>
        <v>-0.8</v>
      </c>
      <c r="U331" s="5">
        <f t="shared" si="658"/>
        <v>0.60000000000000009</v>
      </c>
      <c r="V331" s="5">
        <f t="shared" si="658"/>
        <v>1</v>
      </c>
      <c r="W331" s="2">
        <f t="shared" ref="W331:Y331" si="659">Q331^2</f>
        <v>0.64133694825726106</v>
      </c>
      <c r="X331" s="2">
        <f t="shared" si="659"/>
        <v>0.40648116393034178</v>
      </c>
      <c r="Y331" s="2">
        <f t="shared" si="659"/>
        <v>1.0568510263907673</v>
      </c>
    </row>
    <row r="332" spans="1:25" x14ac:dyDescent="0.7">
      <c r="A332" t="s">
        <v>56</v>
      </c>
      <c r="B332" s="3">
        <v>0.65557870370370364</v>
      </c>
      <c r="C332" t="s">
        <v>57</v>
      </c>
      <c r="D332" s="2">
        <v>37.632918333333336</v>
      </c>
      <c r="E332" t="s">
        <v>58</v>
      </c>
      <c r="F332" s="2">
        <v>141.013575</v>
      </c>
      <c r="G332" t="s">
        <v>59</v>
      </c>
      <c r="H332" s="4">
        <v>0</v>
      </c>
      <c r="I332" s="5">
        <v>84.4</v>
      </c>
      <c r="J332">
        <v>170220</v>
      </c>
      <c r="M332" t="s">
        <v>57</v>
      </c>
      <c r="N332" t="s">
        <v>67</v>
      </c>
      <c r="O332" s="2">
        <v>-5.5555555533715051E-6</v>
      </c>
      <c r="P332" s="2">
        <v>8.9682539510249626E-6</v>
      </c>
      <c r="Q332" s="2">
        <v>-0.60856347612988437</v>
      </c>
      <c r="R332" s="2">
        <v>0.7837335028608845</v>
      </c>
      <c r="S332" s="2">
        <v>0.99680520822460728</v>
      </c>
      <c r="T332" s="5">
        <f t="shared" ref="T332:V332" si="660">IFERROR(MROUND(Q332,0.2),-MROUND(ABS(Q332),0.2))</f>
        <v>-0.60000000000000009</v>
      </c>
      <c r="U332" s="5">
        <f t="shared" si="660"/>
        <v>0.8</v>
      </c>
      <c r="V332" s="5">
        <f t="shared" si="660"/>
        <v>1</v>
      </c>
      <c r="W332" s="2">
        <f t="shared" ref="W332:Y332" si="661">Q332^2</f>
        <v>0.37034950447928833</v>
      </c>
      <c r="X332" s="2">
        <f t="shared" si="661"/>
        <v>0.61423820350659208</v>
      </c>
      <c r="Y332" s="2">
        <f t="shared" si="661"/>
        <v>0.9936206231437027</v>
      </c>
    </row>
    <row r="333" spans="1:25" x14ac:dyDescent="0.7">
      <c r="A333" t="s">
        <v>56</v>
      </c>
      <c r="B333" s="3">
        <v>0.65559027777777779</v>
      </c>
      <c r="C333" t="s">
        <v>57</v>
      </c>
      <c r="D333" s="2">
        <v>37.632919999999999</v>
      </c>
      <c r="E333" t="s">
        <v>58</v>
      </c>
      <c r="F333" s="2">
        <v>141.01357666666667</v>
      </c>
      <c r="G333" t="s">
        <v>59</v>
      </c>
      <c r="H333" s="4">
        <v>0</v>
      </c>
      <c r="I333" s="5">
        <v>84.4</v>
      </c>
      <c r="J333">
        <v>170220</v>
      </c>
      <c r="M333" t="s">
        <v>57</v>
      </c>
      <c r="N333" t="s">
        <v>68</v>
      </c>
      <c r="O333" s="2">
        <v>-3.8888888909127672E-6</v>
      </c>
      <c r="P333" s="2">
        <v>1.06349206134837E-5</v>
      </c>
      <c r="Q333" s="2">
        <v>-0.42503916840551237</v>
      </c>
      <c r="R333" s="2">
        <v>0.93121416317648631</v>
      </c>
      <c r="S333" s="2">
        <v>1.0324165539804633</v>
      </c>
      <c r="T333" s="5">
        <f t="shared" ref="T333:V333" si="662">IFERROR(MROUND(Q333,0.2),-MROUND(ABS(Q333),0.2))</f>
        <v>-0.4</v>
      </c>
      <c r="U333" s="5">
        <f t="shared" si="662"/>
        <v>1</v>
      </c>
      <c r="V333" s="5">
        <f t="shared" si="662"/>
        <v>1</v>
      </c>
      <c r="W333" s="2">
        <f t="shared" ref="W333:Y333" si="663">Q333^2</f>
        <v>0.1806582946788495</v>
      </c>
      <c r="X333" s="2">
        <f t="shared" si="663"/>
        <v>0.86715981770048367</v>
      </c>
      <c r="Y333" s="2">
        <f t="shared" si="663"/>
        <v>1.0658839409328948</v>
      </c>
    </row>
    <row r="334" spans="1:25" x14ac:dyDescent="0.7">
      <c r="A334" t="s">
        <v>56</v>
      </c>
      <c r="B334" s="3">
        <v>0.65560185185185182</v>
      </c>
      <c r="C334" t="s">
        <v>57</v>
      </c>
      <c r="D334" s="2">
        <v>37.632919999999999</v>
      </c>
      <c r="E334" t="s">
        <v>58</v>
      </c>
      <c r="F334" s="2">
        <v>141.01357666666667</v>
      </c>
      <c r="G334" t="s">
        <v>59</v>
      </c>
      <c r="H334" s="4">
        <v>0</v>
      </c>
      <c r="I334" s="5">
        <v>84.4</v>
      </c>
      <c r="J334">
        <v>170220</v>
      </c>
      <c r="M334" t="s">
        <v>57</v>
      </c>
      <c r="N334" t="s">
        <v>63</v>
      </c>
      <c r="O334" s="2">
        <v>-3.8888888909127672E-6</v>
      </c>
      <c r="P334" s="2">
        <v>1.06349206134837E-5</v>
      </c>
      <c r="Q334" s="2">
        <v>-0.42503916840551237</v>
      </c>
      <c r="R334" s="2">
        <v>0.93121416317648631</v>
      </c>
      <c r="S334" s="2">
        <v>1.0324165539804633</v>
      </c>
      <c r="T334" s="5">
        <f t="shared" ref="T334:V334" si="664">IFERROR(MROUND(Q334,0.2),-MROUND(ABS(Q334),0.2))</f>
        <v>-0.4</v>
      </c>
      <c r="U334" s="5">
        <f t="shared" si="664"/>
        <v>1</v>
      </c>
      <c r="V334" s="5">
        <f t="shared" si="664"/>
        <v>1</v>
      </c>
      <c r="W334" s="2">
        <f t="shared" ref="W334:Y334" si="665">Q334^2</f>
        <v>0.1806582946788495</v>
      </c>
      <c r="X334" s="2">
        <f t="shared" si="665"/>
        <v>0.86715981770048367</v>
      </c>
      <c r="Y334" s="2">
        <f t="shared" si="665"/>
        <v>1.0658839409328948</v>
      </c>
    </row>
    <row r="335" spans="1:25" x14ac:dyDescent="0.7">
      <c r="A335" t="s">
        <v>56</v>
      </c>
      <c r="B335" s="3">
        <v>0.65561342592592597</v>
      </c>
      <c r="C335" t="s">
        <v>57</v>
      </c>
      <c r="D335" s="2">
        <v>37.632921666666668</v>
      </c>
      <c r="E335" t="s">
        <v>58</v>
      </c>
      <c r="F335" s="2">
        <v>141.013575</v>
      </c>
      <c r="G335" t="s">
        <v>59</v>
      </c>
      <c r="H335" s="4">
        <v>0</v>
      </c>
      <c r="I335" s="5">
        <v>84.4</v>
      </c>
      <c r="J335">
        <v>170220</v>
      </c>
      <c r="M335" t="s">
        <v>57</v>
      </c>
      <c r="N335" t="s">
        <v>64</v>
      </c>
      <c r="O335" s="2">
        <v>-2.222222221348602E-6</v>
      </c>
      <c r="P335" s="2">
        <v>8.9682539510249626E-6</v>
      </c>
      <c r="Q335" s="2">
        <v>-0.25145656374481296</v>
      </c>
      <c r="R335" s="2">
        <v>0.7837335028608845</v>
      </c>
      <c r="S335" s="2">
        <v>0.82855387453257401</v>
      </c>
      <c r="T335" s="5">
        <f t="shared" ref="T335:V335" si="666">IFERROR(MROUND(Q335,0.2),-MROUND(ABS(Q335),0.2))</f>
        <v>-0.2</v>
      </c>
      <c r="U335" s="5">
        <f t="shared" si="666"/>
        <v>0.8</v>
      </c>
      <c r="V335" s="5">
        <f t="shared" si="666"/>
        <v>0.8</v>
      </c>
      <c r="W335" s="2">
        <f t="shared" ref="W335:Y335" si="667">Q335^2</f>
        <v>6.3230403450349179E-2</v>
      </c>
      <c r="X335" s="2">
        <f t="shared" si="667"/>
        <v>0.61423820350659208</v>
      </c>
      <c r="Y335" s="2">
        <f t="shared" si="667"/>
        <v>0.68650152300294043</v>
      </c>
    </row>
    <row r="336" spans="1:25" x14ac:dyDescent="0.7">
      <c r="A336" t="s">
        <v>56</v>
      </c>
      <c r="B336" s="3">
        <v>0.65562500000000001</v>
      </c>
      <c r="C336" t="s">
        <v>57</v>
      </c>
      <c r="D336" s="2">
        <v>37.632921666666668</v>
      </c>
      <c r="E336" t="s">
        <v>58</v>
      </c>
      <c r="F336" s="2">
        <v>141.01357333333331</v>
      </c>
      <c r="G336" t="s">
        <v>59</v>
      </c>
      <c r="H336" s="4">
        <v>0.55559999999999998</v>
      </c>
      <c r="I336" s="5">
        <v>84.4</v>
      </c>
      <c r="J336">
        <v>170220</v>
      </c>
      <c r="M336" t="s">
        <v>57</v>
      </c>
      <c r="N336" t="s">
        <v>61</v>
      </c>
      <c r="O336" s="2">
        <v>-2.222222221348602E-6</v>
      </c>
      <c r="P336" s="2">
        <v>7.3015872601445153E-6</v>
      </c>
      <c r="Q336" s="2">
        <v>-0.25145656374481296</v>
      </c>
      <c r="R336" s="2">
        <v>0.63755875331638401</v>
      </c>
      <c r="S336" s="2">
        <v>0.68535506657847467</v>
      </c>
      <c r="T336" s="5">
        <f t="shared" ref="T336:V336" si="668">IFERROR(MROUND(Q336,0.2),-MROUND(ABS(Q336),0.2))</f>
        <v>-0.2</v>
      </c>
      <c r="U336" s="5">
        <f t="shared" si="668"/>
        <v>0.60000000000000009</v>
      </c>
      <c r="V336" s="5">
        <f t="shared" si="668"/>
        <v>0.60000000000000009</v>
      </c>
      <c r="W336" s="2">
        <f t="shared" ref="W336:Y336" si="669">Q336^2</f>
        <v>6.3230403450349179E-2</v>
      </c>
      <c r="X336" s="2">
        <f t="shared" si="669"/>
        <v>0.40648116393034178</v>
      </c>
      <c r="Y336" s="2">
        <f t="shared" si="669"/>
        <v>0.46971156728478547</v>
      </c>
    </row>
    <row r="337" spans="1:25" x14ac:dyDescent="0.7">
      <c r="A337" t="s">
        <v>56</v>
      </c>
      <c r="B337" s="3">
        <v>0.65563657407407405</v>
      </c>
      <c r="C337" t="s">
        <v>57</v>
      </c>
      <c r="D337" s="2">
        <v>37.632923333333331</v>
      </c>
      <c r="E337" t="s">
        <v>58</v>
      </c>
      <c r="F337" s="2">
        <v>141.01357000000002</v>
      </c>
      <c r="G337" t="s">
        <v>59</v>
      </c>
      <c r="H337" s="4">
        <v>0</v>
      </c>
      <c r="I337" s="5">
        <v>84.4</v>
      </c>
      <c r="J337">
        <v>170220</v>
      </c>
      <c r="M337" t="s">
        <v>57</v>
      </c>
      <c r="N337" t="s">
        <v>88</v>
      </c>
      <c r="O337" s="2">
        <v>-5.5555555888986419E-7</v>
      </c>
      <c r="P337" s="2">
        <v>3.968253963648749E-6</v>
      </c>
      <c r="Q337" s="2">
        <v>0</v>
      </c>
      <c r="R337" s="2">
        <v>0.34267753328923733</v>
      </c>
      <c r="S337" s="2">
        <v>0.35561328162303774</v>
      </c>
      <c r="T337" s="5">
        <f t="shared" ref="T337:V337" si="670">IFERROR(MROUND(Q337,0.2),-MROUND(ABS(Q337),0.2))</f>
        <v>0</v>
      </c>
      <c r="U337" s="5">
        <f t="shared" si="670"/>
        <v>0.4</v>
      </c>
      <c r="V337" s="5">
        <f t="shared" si="670"/>
        <v>0.4</v>
      </c>
      <c r="W337" s="2">
        <f t="shared" ref="W337:Y337" si="671">Q337^2</f>
        <v>0</v>
      </c>
      <c r="X337" s="2">
        <f t="shared" si="671"/>
        <v>0.11742789182119637</v>
      </c>
      <c r="Y337" s="2">
        <f t="shared" si="671"/>
        <v>0.12646080606670596</v>
      </c>
    </row>
    <row r="338" spans="1:25" x14ac:dyDescent="0.7">
      <c r="A338" t="s">
        <v>56</v>
      </c>
      <c r="B338" s="3">
        <v>0.65564814814814809</v>
      </c>
      <c r="C338" t="s">
        <v>57</v>
      </c>
      <c r="D338" s="2">
        <v>37.632928333333332</v>
      </c>
      <c r="E338" t="s">
        <v>58</v>
      </c>
      <c r="F338" s="2">
        <v>141.01357000000002</v>
      </c>
      <c r="G338" t="s">
        <v>59</v>
      </c>
      <c r="H338" s="4">
        <v>0.37040000000000006</v>
      </c>
      <c r="I338" s="5">
        <v>84.4</v>
      </c>
      <c r="J338">
        <v>170220</v>
      </c>
      <c r="M338" t="s">
        <v>57</v>
      </c>
      <c r="N338" t="s">
        <v>87</v>
      </c>
      <c r="O338" s="2">
        <v>4.4444444426972041E-6</v>
      </c>
      <c r="P338" s="2">
        <v>3.968253963648749E-6</v>
      </c>
      <c r="Q338" s="2">
        <v>0.48461921537840325</v>
      </c>
      <c r="R338" s="2">
        <v>0.34267753328923733</v>
      </c>
      <c r="S338" s="2">
        <v>0.60109615789595305</v>
      </c>
      <c r="T338" s="5">
        <f t="shared" ref="T338:V338" si="672">IFERROR(MROUND(Q338,0.2),-MROUND(ABS(Q338),0.2))</f>
        <v>0.4</v>
      </c>
      <c r="U338" s="5">
        <f t="shared" si="672"/>
        <v>0.4</v>
      </c>
      <c r="V338" s="5">
        <f t="shared" si="672"/>
        <v>0.60000000000000009</v>
      </c>
      <c r="W338" s="2">
        <f t="shared" ref="W338:Y338" si="673">Q338^2</f>
        <v>0.23485578391397918</v>
      </c>
      <c r="X338" s="2">
        <f t="shared" si="673"/>
        <v>0.11742789182119637</v>
      </c>
      <c r="Y338" s="2">
        <f t="shared" si="673"/>
        <v>0.36131659103727654</v>
      </c>
    </row>
    <row r="339" spans="1:25" x14ac:dyDescent="0.7">
      <c r="A339" t="s">
        <v>56</v>
      </c>
      <c r="B339" s="3">
        <v>0.65565972222222224</v>
      </c>
      <c r="C339" t="s">
        <v>57</v>
      </c>
      <c r="D339" s="2">
        <v>37.632930000000002</v>
      </c>
      <c r="E339" t="s">
        <v>58</v>
      </c>
      <c r="F339" s="2">
        <v>141.01357000000002</v>
      </c>
      <c r="G339" t="s">
        <v>59</v>
      </c>
      <c r="H339" s="4">
        <v>0</v>
      </c>
      <c r="I339" s="5">
        <v>84.4</v>
      </c>
      <c r="J339">
        <v>170220</v>
      </c>
      <c r="M339" t="s">
        <v>57</v>
      </c>
      <c r="N339" t="s">
        <v>64</v>
      </c>
      <c r="O339" s="2">
        <v>6.1111111122613693E-6</v>
      </c>
      <c r="P339" s="2">
        <v>3.968253963648749E-6</v>
      </c>
      <c r="Q339" s="2">
        <v>0.67873312348330228</v>
      </c>
      <c r="R339" s="2">
        <v>0.34267753328923733</v>
      </c>
      <c r="S339" s="2">
        <v>0.76625025831750149</v>
      </c>
      <c r="T339" s="5">
        <f t="shared" ref="T339:V339" si="674">IFERROR(MROUND(Q339,0.2),-MROUND(ABS(Q339),0.2))</f>
        <v>0.60000000000000009</v>
      </c>
      <c r="U339" s="5">
        <f t="shared" si="674"/>
        <v>0.4</v>
      </c>
      <c r="V339" s="5">
        <f t="shared" si="674"/>
        <v>0.8</v>
      </c>
      <c r="W339" s="2">
        <f t="shared" ref="W339:Y339" si="675">Q339^2</f>
        <v>0.46067865291339966</v>
      </c>
      <c r="X339" s="2">
        <f t="shared" si="675"/>
        <v>0.11742789182119637</v>
      </c>
      <c r="Y339" s="2">
        <f t="shared" si="675"/>
        <v>0.58713945837163772</v>
      </c>
    </row>
    <row r="340" spans="1:25" x14ac:dyDescent="0.7">
      <c r="A340" t="s">
        <v>56</v>
      </c>
      <c r="B340" s="3">
        <v>0.65567129629629628</v>
      </c>
      <c r="C340" t="s">
        <v>57</v>
      </c>
      <c r="D340" s="2">
        <v>37.632931666666664</v>
      </c>
      <c r="E340" t="s">
        <v>58</v>
      </c>
      <c r="F340" s="2">
        <v>141.01357000000002</v>
      </c>
      <c r="G340" t="s">
        <v>59</v>
      </c>
      <c r="H340" s="4">
        <v>0.37040000000000006</v>
      </c>
      <c r="I340" s="5">
        <v>84.4</v>
      </c>
      <c r="J340">
        <v>170220</v>
      </c>
      <c r="M340" t="s">
        <v>57</v>
      </c>
      <c r="N340" t="s">
        <v>90</v>
      </c>
      <c r="O340" s="2">
        <v>7.7777777747201071E-6</v>
      </c>
      <c r="P340" s="2">
        <v>3.968253963648749E-6</v>
      </c>
      <c r="Q340" s="2">
        <v>0.86587061722602243</v>
      </c>
      <c r="R340" s="2">
        <v>0.34267753328923733</v>
      </c>
      <c r="S340" s="2">
        <v>0.93605167231942299</v>
      </c>
      <c r="T340" s="5">
        <f t="shared" ref="T340:V340" si="676">IFERROR(MROUND(Q340,0.2),-MROUND(ABS(Q340),0.2))</f>
        <v>0.8</v>
      </c>
      <c r="U340" s="5">
        <f t="shared" si="676"/>
        <v>0.4</v>
      </c>
      <c r="V340" s="5">
        <f t="shared" si="676"/>
        <v>1</v>
      </c>
      <c r="W340" s="2">
        <f t="shared" ref="W340:Y340" si="677">Q340^2</f>
        <v>0.74973192577537306</v>
      </c>
      <c r="X340" s="2">
        <f t="shared" si="677"/>
        <v>0.11742789182119637</v>
      </c>
      <c r="Y340" s="2">
        <f t="shared" si="677"/>
        <v>0.87619273325198843</v>
      </c>
    </row>
    <row r="341" spans="1:25" x14ac:dyDescent="0.7">
      <c r="A341" t="s">
        <v>56</v>
      </c>
      <c r="B341" s="3">
        <v>0.65568287037037043</v>
      </c>
      <c r="C341" t="s">
        <v>57</v>
      </c>
      <c r="D341" s="2">
        <v>37.632930000000002</v>
      </c>
      <c r="E341" t="s">
        <v>58</v>
      </c>
      <c r="F341" s="2">
        <v>141.01357000000002</v>
      </c>
      <c r="G341" t="s">
        <v>59</v>
      </c>
      <c r="H341" s="4">
        <v>0</v>
      </c>
      <c r="I341" s="5">
        <v>84.4</v>
      </c>
      <c r="J341">
        <v>170220</v>
      </c>
      <c r="M341" t="s">
        <v>57</v>
      </c>
      <c r="N341" t="s">
        <v>70</v>
      </c>
      <c r="O341" s="2">
        <v>6.1111111122613693E-6</v>
      </c>
      <c r="P341" s="2">
        <v>3.968253963648749E-6</v>
      </c>
      <c r="Q341" s="2">
        <v>0.67873312348330228</v>
      </c>
      <c r="R341" s="2">
        <v>0.34267753328923733</v>
      </c>
      <c r="S341" s="2">
        <v>0.76625025831750149</v>
      </c>
      <c r="T341" s="5">
        <f t="shared" ref="T341:V341" si="678">IFERROR(MROUND(Q341,0.2),-MROUND(ABS(Q341),0.2))</f>
        <v>0.60000000000000009</v>
      </c>
      <c r="U341" s="5">
        <f t="shared" si="678"/>
        <v>0.4</v>
      </c>
      <c r="V341" s="5">
        <f t="shared" si="678"/>
        <v>0.8</v>
      </c>
      <c r="W341" s="2">
        <f t="shared" ref="W341:Y341" si="679">Q341^2</f>
        <v>0.46067865291339966</v>
      </c>
      <c r="X341" s="2">
        <f t="shared" si="679"/>
        <v>0.11742789182119637</v>
      </c>
      <c r="Y341" s="2">
        <f t="shared" si="679"/>
        <v>0.58713945837163772</v>
      </c>
    </row>
    <row r="342" spans="1:25" x14ac:dyDescent="0.7">
      <c r="A342" t="s">
        <v>56</v>
      </c>
      <c r="B342" s="3">
        <v>0.65569444444444447</v>
      </c>
      <c r="C342" t="s">
        <v>57</v>
      </c>
      <c r="D342" s="2">
        <v>37.632931666666664</v>
      </c>
      <c r="E342" t="s">
        <v>58</v>
      </c>
      <c r="F342" s="2">
        <v>141.01357000000002</v>
      </c>
      <c r="G342" t="s">
        <v>59</v>
      </c>
      <c r="H342" s="4">
        <v>0.37040000000000006</v>
      </c>
      <c r="I342" s="5">
        <v>84.4</v>
      </c>
      <c r="J342">
        <v>170220</v>
      </c>
      <c r="M342" t="s">
        <v>57</v>
      </c>
      <c r="N342" t="s">
        <v>70</v>
      </c>
      <c r="O342" s="2">
        <v>7.7777777747201071E-6</v>
      </c>
      <c r="P342" s="2">
        <v>3.968253963648749E-6</v>
      </c>
      <c r="Q342" s="2">
        <v>0.86587061722602243</v>
      </c>
      <c r="R342" s="2">
        <v>0.34267753328923733</v>
      </c>
      <c r="S342" s="2">
        <v>0.93605167231942299</v>
      </c>
      <c r="T342" s="5">
        <f t="shared" ref="T342:V342" si="680">IFERROR(MROUND(Q342,0.2),-MROUND(ABS(Q342),0.2))</f>
        <v>0.8</v>
      </c>
      <c r="U342" s="5">
        <f t="shared" si="680"/>
        <v>0.4</v>
      </c>
      <c r="V342" s="5">
        <f t="shared" si="680"/>
        <v>1</v>
      </c>
      <c r="W342" s="2">
        <f t="shared" ref="W342:Y342" si="681">Q342^2</f>
        <v>0.74973192577537306</v>
      </c>
      <c r="X342" s="2">
        <f t="shared" si="681"/>
        <v>0.11742789182119637</v>
      </c>
      <c r="Y342" s="2">
        <f t="shared" si="681"/>
        <v>0.87619273325198843</v>
      </c>
    </row>
    <row r="343" spans="1:25" x14ac:dyDescent="0.7">
      <c r="A343" t="s">
        <v>56</v>
      </c>
      <c r="B343" s="3">
        <v>0.65576388888888892</v>
      </c>
      <c r="C343" t="s">
        <v>57</v>
      </c>
      <c r="D343" s="2">
        <v>37.632915000000004</v>
      </c>
      <c r="E343" t="s">
        <v>58</v>
      </c>
      <c r="F343" s="2">
        <v>141.01355833333335</v>
      </c>
      <c r="G343" t="s">
        <v>59</v>
      </c>
      <c r="H343" s="4">
        <v>0.55559999999999998</v>
      </c>
      <c r="I343" s="5">
        <v>84.4</v>
      </c>
      <c r="J343">
        <v>170220</v>
      </c>
      <c r="M343" t="s">
        <v>57</v>
      </c>
      <c r="N343" t="s">
        <v>63</v>
      </c>
      <c r="O343" s="2">
        <v>-8.8888888853944081E-6</v>
      </c>
      <c r="P343" s="2">
        <v>-7.6984127019841253E-6</v>
      </c>
      <c r="Q343" s="2">
        <v>-0.98770177365298562</v>
      </c>
      <c r="R343" s="2">
        <v>-0.67204593463009132</v>
      </c>
      <c r="S343" s="2">
        <v>1.1984295757894279</v>
      </c>
      <c r="T343" s="5">
        <f t="shared" ref="T343:V343" si="682">IFERROR(MROUND(Q343,0.2),-MROUND(ABS(Q343),0.2))</f>
        <v>-1</v>
      </c>
      <c r="U343" s="5">
        <f t="shared" si="682"/>
        <v>-0.60000000000000009</v>
      </c>
      <c r="V343" s="5">
        <f t="shared" si="682"/>
        <v>1.2000000000000002</v>
      </c>
      <c r="W343" s="2">
        <f t="shared" ref="W343:Y343" si="683">Q343^2</f>
        <v>0.97555479367725362</v>
      </c>
      <c r="X343" s="2">
        <f t="shared" si="683"/>
        <v>0.451645738252833</v>
      </c>
      <c r="Y343" s="2">
        <f t="shared" si="683"/>
        <v>1.436233448126828</v>
      </c>
    </row>
    <row r="344" spans="1:25" x14ac:dyDescent="0.7">
      <c r="A344" t="s">
        <v>56</v>
      </c>
      <c r="B344" s="3">
        <v>0.65636574074074072</v>
      </c>
      <c r="C344" t="s">
        <v>57</v>
      </c>
      <c r="D344" s="2">
        <v>37.632896666666667</v>
      </c>
      <c r="E344" t="s">
        <v>58</v>
      </c>
      <c r="F344" s="2">
        <v>141.01362</v>
      </c>
      <c r="G344" t="s">
        <v>59</v>
      </c>
      <c r="H344" s="4">
        <v>0.92600000000000005</v>
      </c>
      <c r="I344" s="5">
        <v>94.1</v>
      </c>
      <c r="J344">
        <v>170220</v>
      </c>
      <c r="M344" t="s">
        <v>57</v>
      </c>
      <c r="N344" t="s">
        <v>66</v>
      </c>
      <c r="O344" s="2">
        <v>-8.5507246438965012E-6</v>
      </c>
      <c r="P344" s="2">
        <v>2.3188405293694814E-6</v>
      </c>
      <c r="Q344" s="2">
        <v>-0.95041647553443909</v>
      </c>
      <c r="R344" s="2">
        <v>0.19008329510688782</v>
      </c>
      <c r="S344" s="2">
        <v>0.97388708267538981</v>
      </c>
      <c r="T344" s="5">
        <f t="shared" ref="T344:V344" si="684">IFERROR(MROUND(Q344,0.2),-MROUND(ABS(Q344),0.2))</f>
        <v>-1</v>
      </c>
      <c r="U344" s="5">
        <f t="shared" si="684"/>
        <v>0.2</v>
      </c>
      <c r="V344" s="5">
        <f t="shared" si="684"/>
        <v>1</v>
      </c>
      <c r="W344" s="2">
        <f t="shared" ref="W344:Y344" si="685">Q344^2</f>
        <v>0.90329147696730505</v>
      </c>
      <c r="X344" s="2">
        <f t="shared" si="685"/>
        <v>3.6131659078692202E-2</v>
      </c>
      <c r="Y344" s="2">
        <f t="shared" si="685"/>
        <v>0.9484560498019815</v>
      </c>
    </row>
    <row r="345" spans="1:25" x14ac:dyDescent="0.7">
      <c r="A345" t="s">
        <v>56</v>
      </c>
      <c r="B345" s="3">
        <v>0.65637731481481476</v>
      </c>
      <c r="C345" t="s">
        <v>57</v>
      </c>
      <c r="D345" s="2">
        <v>37.632894999999998</v>
      </c>
      <c r="E345" t="s">
        <v>58</v>
      </c>
      <c r="F345" s="2">
        <v>141.01361833333334</v>
      </c>
      <c r="G345" t="s">
        <v>59</v>
      </c>
      <c r="H345" s="4">
        <v>0</v>
      </c>
      <c r="I345" s="5">
        <v>94.1</v>
      </c>
      <c r="J345">
        <v>170220</v>
      </c>
      <c r="M345" t="s">
        <v>57</v>
      </c>
      <c r="N345" t="s">
        <v>67</v>
      </c>
      <c r="O345" s="2">
        <v>-1.0217391313460666E-5</v>
      </c>
      <c r="P345" s="2">
        <v>6.5217386691074353E-7</v>
      </c>
      <c r="Q345" s="2">
        <v>-1.1365328030604256</v>
      </c>
      <c r="R345" s="2">
        <v>0</v>
      </c>
      <c r="S345" s="2">
        <v>1.1365328030604256</v>
      </c>
      <c r="T345" s="5">
        <f t="shared" ref="T345:V345" si="686">IFERROR(MROUND(Q345,0.2),-MROUND(ABS(Q345),0.2))</f>
        <v>-1.2000000000000002</v>
      </c>
      <c r="U345" s="5">
        <f t="shared" si="686"/>
        <v>0</v>
      </c>
      <c r="V345" s="5">
        <f t="shared" si="686"/>
        <v>1.2000000000000002</v>
      </c>
      <c r="W345" s="2">
        <f t="shared" ref="W345:Y345" si="687">Q345^2</f>
        <v>1.2917068124323881</v>
      </c>
      <c r="X345" s="2">
        <f t="shared" si="687"/>
        <v>0</v>
      </c>
      <c r="Y345" s="2">
        <f t="shared" si="687"/>
        <v>1.2917068124323881</v>
      </c>
    </row>
    <row r="346" spans="1:25" x14ac:dyDescent="0.7">
      <c r="A346" t="s">
        <v>56</v>
      </c>
      <c r="B346" s="3">
        <v>0.65638888888888891</v>
      </c>
      <c r="C346" t="s">
        <v>57</v>
      </c>
      <c r="D346" s="2">
        <v>37.632894999999998</v>
      </c>
      <c r="E346" t="s">
        <v>58</v>
      </c>
      <c r="F346" s="2">
        <v>141.01361833333334</v>
      </c>
      <c r="G346" t="s">
        <v>59</v>
      </c>
      <c r="H346" s="4">
        <v>0</v>
      </c>
      <c r="I346" s="5">
        <v>94.1</v>
      </c>
      <c r="J346">
        <v>170220</v>
      </c>
      <c r="M346" t="s">
        <v>57</v>
      </c>
      <c r="N346" t="s">
        <v>89</v>
      </c>
      <c r="O346" s="2">
        <v>-1.0217391313460666E-5</v>
      </c>
      <c r="P346" s="2">
        <v>6.5217386691074353E-7</v>
      </c>
      <c r="Q346" s="2">
        <v>-1.1365328030604256</v>
      </c>
      <c r="R346" s="2">
        <v>0</v>
      </c>
      <c r="S346" s="2">
        <v>1.1365328030604256</v>
      </c>
      <c r="T346" s="5">
        <f t="shared" ref="T346:V346" si="688">IFERROR(MROUND(Q346,0.2),-MROUND(ABS(Q346),0.2))</f>
        <v>-1.2000000000000002</v>
      </c>
      <c r="U346" s="5">
        <f t="shared" si="688"/>
        <v>0</v>
      </c>
      <c r="V346" s="5">
        <f t="shared" si="688"/>
        <v>1.2000000000000002</v>
      </c>
      <c r="W346" s="2">
        <f t="shared" ref="W346:Y346" si="689">Q346^2</f>
        <v>1.2917068124323881</v>
      </c>
      <c r="X346" s="2">
        <f t="shared" si="689"/>
        <v>0</v>
      </c>
      <c r="Y346" s="2">
        <f t="shared" si="689"/>
        <v>1.2917068124323881</v>
      </c>
    </row>
    <row r="347" spans="1:25" x14ac:dyDescent="0.7">
      <c r="A347" t="s">
        <v>56</v>
      </c>
      <c r="B347" s="3">
        <v>0.65640046296296295</v>
      </c>
      <c r="C347" t="s">
        <v>57</v>
      </c>
      <c r="D347" s="2">
        <v>37.632896666666667</v>
      </c>
      <c r="E347" t="s">
        <v>58</v>
      </c>
      <c r="F347" s="2">
        <v>141.01362166666667</v>
      </c>
      <c r="G347" t="s">
        <v>59</v>
      </c>
      <c r="H347" s="4">
        <v>0</v>
      </c>
      <c r="I347" s="5">
        <v>94.1</v>
      </c>
      <c r="J347">
        <v>170220</v>
      </c>
      <c r="M347" t="s">
        <v>57</v>
      </c>
      <c r="N347" t="s">
        <v>91</v>
      </c>
      <c r="O347" s="2">
        <v>-8.5507246438965012E-6</v>
      </c>
      <c r="P347" s="2">
        <v>3.9855071918282192E-6</v>
      </c>
      <c r="Q347" s="2">
        <v>-0.95041647553443909</v>
      </c>
      <c r="R347" s="2">
        <v>0.35561328162303774</v>
      </c>
      <c r="S347" s="2">
        <v>1.0147671076585993</v>
      </c>
      <c r="T347" s="5">
        <f t="shared" ref="T347:V347" si="690">IFERROR(MROUND(Q347,0.2),-MROUND(ABS(Q347),0.2))</f>
        <v>-1</v>
      </c>
      <c r="U347" s="5">
        <f t="shared" si="690"/>
        <v>0.4</v>
      </c>
      <c r="V347" s="5">
        <f t="shared" si="690"/>
        <v>1</v>
      </c>
      <c r="W347" s="2">
        <f t="shared" ref="W347:Y347" si="691">Q347^2</f>
        <v>0.90329147696730505</v>
      </c>
      <c r="X347" s="2">
        <f t="shared" si="691"/>
        <v>0.12646080606670596</v>
      </c>
      <c r="Y347" s="2">
        <f t="shared" si="691"/>
        <v>1.0297522827857994</v>
      </c>
    </row>
    <row r="348" spans="1:25" x14ac:dyDescent="0.7">
      <c r="A348" t="s">
        <v>56</v>
      </c>
      <c r="B348" s="3">
        <v>0.6564120370370371</v>
      </c>
      <c r="C348" t="s">
        <v>57</v>
      </c>
      <c r="D348" s="2">
        <v>37.632899999999999</v>
      </c>
      <c r="E348" t="s">
        <v>58</v>
      </c>
      <c r="F348" s="2">
        <v>141.01362333333333</v>
      </c>
      <c r="G348" t="s">
        <v>59</v>
      </c>
      <c r="H348" s="4">
        <v>0</v>
      </c>
      <c r="I348" s="5">
        <v>94.1</v>
      </c>
      <c r="J348">
        <v>170220</v>
      </c>
      <c r="M348" t="s">
        <v>57</v>
      </c>
      <c r="N348" t="s">
        <v>67</v>
      </c>
      <c r="O348" s="2">
        <v>-5.2173913118735982E-6</v>
      </c>
      <c r="P348" s="2">
        <v>5.6521738542869571E-6</v>
      </c>
      <c r="Q348" s="2">
        <v>-0.57811577200345599</v>
      </c>
      <c r="R348" s="2">
        <v>0.49385088682649281</v>
      </c>
      <c r="S348" s="2">
        <v>0.76625025831750149</v>
      </c>
      <c r="T348" s="5">
        <f t="shared" ref="T348:V348" si="692">IFERROR(MROUND(Q348,0.2),-MROUND(ABS(Q348),0.2))</f>
        <v>-0.60000000000000009</v>
      </c>
      <c r="U348" s="5">
        <f t="shared" si="692"/>
        <v>0.4</v>
      </c>
      <c r="V348" s="5">
        <f t="shared" si="692"/>
        <v>0.8</v>
      </c>
      <c r="W348" s="2">
        <f t="shared" ref="W348:Y348" si="693">Q348^2</f>
        <v>0.33421784583915193</v>
      </c>
      <c r="X348" s="2">
        <f t="shared" si="693"/>
        <v>0.2438886984193134</v>
      </c>
      <c r="Y348" s="2">
        <f t="shared" si="693"/>
        <v>0.58713945837163772</v>
      </c>
    </row>
    <row r="349" spans="1:25" x14ac:dyDescent="0.7">
      <c r="A349" t="s">
        <v>56</v>
      </c>
      <c r="B349" s="3">
        <v>0.65642361111111114</v>
      </c>
      <c r="C349" t="s">
        <v>57</v>
      </c>
      <c r="D349" s="2">
        <v>37.632903333333338</v>
      </c>
      <c r="E349" t="s">
        <v>58</v>
      </c>
      <c r="F349" s="2">
        <v>141.01362499999999</v>
      </c>
      <c r="G349" t="s">
        <v>59</v>
      </c>
      <c r="H349" s="4">
        <v>0.37040000000000006</v>
      </c>
      <c r="I349" s="5">
        <v>94.1</v>
      </c>
      <c r="J349">
        <v>170220</v>
      </c>
      <c r="M349" t="s">
        <v>57</v>
      </c>
      <c r="N349" t="s">
        <v>67</v>
      </c>
      <c r="O349" s="2">
        <v>-1.8840579727452678E-6</v>
      </c>
      <c r="P349" s="2">
        <v>7.3188405167456949E-6</v>
      </c>
      <c r="Q349" s="2">
        <v>-0.21251958491087164</v>
      </c>
      <c r="R349" s="2">
        <v>0.64460381522324806</v>
      </c>
      <c r="S349" s="2">
        <v>0.67873312348330228</v>
      </c>
      <c r="T349" s="5">
        <f t="shared" ref="T349:V349" si="694">IFERROR(MROUND(Q349,0.2),-MROUND(ABS(Q349),0.2))</f>
        <v>-0.2</v>
      </c>
      <c r="U349" s="5">
        <f t="shared" si="694"/>
        <v>0.60000000000000009</v>
      </c>
      <c r="V349" s="5">
        <f t="shared" si="694"/>
        <v>0.60000000000000009</v>
      </c>
      <c r="W349" s="2">
        <f t="shared" ref="W349:Y349" si="695">Q349^2</f>
        <v>4.5164573970689181E-2</v>
      </c>
      <c r="X349" s="2">
        <f t="shared" si="695"/>
        <v>0.41551407860036732</v>
      </c>
      <c r="Y349" s="2">
        <f t="shared" si="695"/>
        <v>0.46067865291339966</v>
      </c>
    </row>
    <row r="350" spans="1:25" x14ac:dyDescent="0.7">
      <c r="A350" t="s">
        <v>56</v>
      </c>
      <c r="B350" s="3">
        <v>0.65643518518518518</v>
      </c>
      <c r="C350" t="s">
        <v>57</v>
      </c>
      <c r="D350" s="2">
        <v>37.632905000000001</v>
      </c>
      <c r="E350" t="s">
        <v>58</v>
      </c>
      <c r="F350" s="2">
        <v>141.01362333333333</v>
      </c>
      <c r="G350" t="s">
        <v>59</v>
      </c>
      <c r="H350" s="4">
        <v>0.37040000000000006</v>
      </c>
      <c r="I350" s="5">
        <v>94.1</v>
      </c>
      <c r="J350">
        <v>170220</v>
      </c>
      <c r="M350" t="s">
        <v>57</v>
      </c>
      <c r="N350" t="s">
        <v>89</v>
      </c>
      <c r="O350" s="2">
        <v>-2.1739131028652992E-7</v>
      </c>
      <c r="P350" s="2">
        <v>5.6521738542869571E-6</v>
      </c>
      <c r="Q350" s="2">
        <v>0</v>
      </c>
      <c r="R350" s="2">
        <v>0.49385088682649281</v>
      </c>
      <c r="S350" s="2">
        <v>0.49385088682649281</v>
      </c>
      <c r="T350" s="5">
        <f t="shared" ref="T350:V350" si="696">IFERROR(MROUND(Q350,0.2),-MROUND(ABS(Q350),0.2))</f>
        <v>0</v>
      </c>
      <c r="U350" s="5">
        <f t="shared" si="696"/>
        <v>0.4</v>
      </c>
      <c r="V350" s="5">
        <f t="shared" si="696"/>
        <v>0.4</v>
      </c>
      <c r="W350" s="2">
        <f t="shared" ref="W350:Y350" si="697">Q350^2</f>
        <v>0</v>
      </c>
      <c r="X350" s="2">
        <f t="shared" si="697"/>
        <v>0.2438886984193134</v>
      </c>
      <c r="Y350" s="2">
        <f t="shared" si="697"/>
        <v>0.2438886984193134</v>
      </c>
    </row>
    <row r="351" spans="1:25" x14ac:dyDescent="0.7">
      <c r="A351" t="s">
        <v>56</v>
      </c>
      <c r="B351" s="3">
        <v>0.65645833333333337</v>
      </c>
      <c r="C351" t="s">
        <v>57</v>
      </c>
      <c r="D351" s="2">
        <v>37.632910000000003</v>
      </c>
      <c r="E351" t="s">
        <v>58</v>
      </c>
      <c r="F351" s="2">
        <v>141.01362166666667</v>
      </c>
      <c r="G351" t="s">
        <v>59</v>
      </c>
      <c r="H351" s="4">
        <v>0</v>
      </c>
      <c r="I351" s="5">
        <v>94.1</v>
      </c>
      <c r="J351">
        <v>170220</v>
      </c>
      <c r="M351" t="s">
        <v>57</v>
      </c>
      <c r="N351" t="s">
        <v>69</v>
      </c>
      <c r="O351" s="2">
        <v>4.7826086913005383E-6</v>
      </c>
      <c r="P351" s="2">
        <v>3.9855071918282192E-6</v>
      </c>
      <c r="Q351" s="2">
        <v>0.5376367471375807</v>
      </c>
      <c r="R351" s="2">
        <v>0.35561328162303774</v>
      </c>
      <c r="S351" s="2">
        <v>0.64460381522324806</v>
      </c>
      <c r="T351" s="5">
        <f t="shared" ref="T351:V351" si="698">IFERROR(MROUND(Q351,0.2),-MROUND(ABS(Q351),0.2))</f>
        <v>0.60000000000000009</v>
      </c>
      <c r="U351" s="5">
        <f t="shared" si="698"/>
        <v>0.4</v>
      </c>
      <c r="V351" s="5">
        <f t="shared" si="698"/>
        <v>0.60000000000000009</v>
      </c>
      <c r="W351" s="2">
        <f t="shared" ref="W351:Y351" si="699">Q351^2</f>
        <v>0.28905327187267887</v>
      </c>
      <c r="X351" s="2">
        <f t="shared" si="699"/>
        <v>0.12646080606670596</v>
      </c>
      <c r="Y351" s="2">
        <f t="shared" si="699"/>
        <v>0.41551407860036732</v>
      </c>
    </row>
    <row r="352" spans="1:25" x14ac:dyDescent="0.7">
      <c r="A352" t="s">
        <v>56</v>
      </c>
      <c r="B352" s="3">
        <v>0.65648148148148155</v>
      </c>
      <c r="C352" t="s">
        <v>57</v>
      </c>
      <c r="D352" s="2">
        <v>37.632906666666671</v>
      </c>
      <c r="E352" t="s">
        <v>58</v>
      </c>
      <c r="F352" s="2">
        <v>141.01361833333334</v>
      </c>
      <c r="G352" t="s">
        <v>59</v>
      </c>
      <c r="H352" s="4">
        <v>0</v>
      </c>
      <c r="I352" s="5">
        <v>94.1</v>
      </c>
      <c r="J352">
        <v>170220</v>
      </c>
      <c r="M352" t="s">
        <v>57</v>
      </c>
      <c r="N352" t="s">
        <v>63</v>
      </c>
      <c r="O352" s="2">
        <v>1.4492753592776353E-6</v>
      </c>
      <c r="P352" s="2">
        <v>6.5217386691074353E-7</v>
      </c>
      <c r="Q352" s="2">
        <v>0.1646169622754976</v>
      </c>
      <c r="R352" s="2">
        <v>0</v>
      </c>
      <c r="S352" s="2">
        <v>0.1646169622754976</v>
      </c>
      <c r="T352" s="5">
        <f t="shared" ref="T352:V352" si="700">IFERROR(MROUND(Q352,0.2),-MROUND(ABS(Q352),0.2))</f>
        <v>0.2</v>
      </c>
      <c r="U352" s="5">
        <f t="shared" si="700"/>
        <v>0</v>
      </c>
      <c r="V352" s="5">
        <f t="shared" si="700"/>
        <v>0.2</v>
      </c>
      <c r="W352" s="2">
        <f t="shared" ref="W352:Y352" si="701">Q352^2</f>
        <v>2.7098744268812602E-2</v>
      </c>
      <c r="X352" s="2">
        <f t="shared" si="701"/>
        <v>0</v>
      </c>
      <c r="Y352" s="2">
        <f t="shared" si="701"/>
        <v>2.7098744268812602E-2</v>
      </c>
    </row>
    <row r="353" spans="1:25" x14ac:dyDescent="0.7">
      <c r="A353" t="s">
        <v>56</v>
      </c>
      <c r="B353" s="3">
        <v>0.65649305555555559</v>
      </c>
      <c r="C353" t="s">
        <v>57</v>
      </c>
      <c r="D353" s="2">
        <v>37.632905000000001</v>
      </c>
      <c r="E353" t="s">
        <v>58</v>
      </c>
      <c r="F353" s="2">
        <v>141.01361499999999</v>
      </c>
      <c r="G353" t="s">
        <v>59</v>
      </c>
      <c r="H353" s="4">
        <v>0.37040000000000006</v>
      </c>
      <c r="I353" s="5">
        <v>94.1</v>
      </c>
      <c r="J353">
        <v>170220</v>
      </c>
      <c r="M353" t="s">
        <v>57</v>
      </c>
      <c r="N353" t="s">
        <v>60</v>
      </c>
      <c r="O353" s="2">
        <v>-2.1739131028652992E-7</v>
      </c>
      <c r="P353" s="2">
        <v>-2.6811594864284416E-6</v>
      </c>
      <c r="Q353" s="2">
        <v>0</v>
      </c>
      <c r="R353" s="2">
        <v>-0.23280354079412158</v>
      </c>
      <c r="S353" s="2">
        <v>0.23280354079412158</v>
      </c>
      <c r="T353" s="5">
        <f t="shared" ref="T353:V353" si="702">IFERROR(MROUND(Q353,0.2),-MROUND(ABS(Q353),0.2))</f>
        <v>0</v>
      </c>
      <c r="U353" s="5">
        <f t="shared" si="702"/>
        <v>-0.2</v>
      </c>
      <c r="V353" s="5">
        <f t="shared" si="702"/>
        <v>0.2</v>
      </c>
      <c r="W353" s="2">
        <f t="shared" ref="W353:Y353" si="703">Q353^2</f>
        <v>0</v>
      </c>
      <c r="X353" s="2">
        <f t="shared" si="703"/>
        <v>5.4197488606280229E-2</v>
      </c>
      <c r="Y353" s="2">
        <f t="shared" si="703"/>
        <v>5.4197488606280229E-2</v>
      </c>
    </row>
    <row r="354" spans="1:25" x14ac:dyDescent="0.7">
      <c r="A354" t="s">
        <v>56</v>
      </c>
      <c r="B354" s="3">
        <v>0.65653935185185186</v>
      </c>
      <c r="C354" t="s">
        <v>57</v>
      </c>
      <c r="D354" s="2">
        <v>37.632901666666662</v>
      </c>
      <c r="E354" t="s">
        <v>58</v>
      </c>
      <c r="F354" s="2">
        <v>141.01361166666666</v>
      </c>
      <c r="G354" t="s">
        <v>59</v>
      </c>
      <c r="H354" s="4">
        <v>0</v>
      </c>
      <c r="I354" s="5">
        <v>94.1</v>
      </c>
      <c r="J354">
        <v>170220</v>
      </c>
      <c r="M354" t="s">
        <v>57</v>
      </c>
      <c r="N354" t="s">
        <v>68</v>
      </c>
      <c r="O354" s="2">
        <v>-3.5507246494148603E-6</v>
      </c>
      <c r="P354" s="2">
        <v>-6.0144928113459173E-6</v>
      </c>
      <c r="Q354" s="2">
        <v>-0.3918667507223268</v>
      </c>
      <c r="R354" s="2">
        <v>-0.52916949765318511</v>
      </c>
      <c r="S354" s="2">
        <v>0.66529153287410736</v>
      </c>
      <c r="T354" s="5">
        <f t="shared" ref="T354:V354" si="704">IFERROR(MROUND(Q354,0.2),-MROUND(ABS(Q354),0.2))</f>
        <v>-0.4</v>
      </c>
      <c r="U354" s="5">
        <f t="shared" si="704"/>
        <v>-0.60000000000000009</v>
      </c>
      <c r="V354" s="5">
        <f t="shared" si="704"/>
        <v>0.60000000000000009</v>
      </c>
      <c r="W354" s="2">
        <f t="shared" ref="W354:Y354" si="705">Q354^2</f>
        <v>0.1535595503216742</v>
      </c>
      <c r="X354" s="2">
        <f t="shared" si="705"/>
        <v>0.2800203572465243</v>
      </c>
      <c r="Y354" s="2">
        <f t="shared" si="705"/>
        <v>0.44261282371397948</v>
      </c>
    </row>
    <row r="355" spans="1:25" x14ac:dyDescent="0.7">
      <c r="A355" t="s">
        <v>56</v>
      </c>
      <c r="B355" s="3">
        <v>0.6565509259259259</v>
      </c>
      <c r="C355" t="s">
        <v>57</v>
      </c>
      <c r="D355" s="2">
        <v>37.632896666666667</v>
      </c>
      <c r="E355" t="s">
        <v>58</v>
      </c>
      <c r="F355" s="2">
        <v>141.01361</v>
      </c>
      <c r="G355" t="s">
        <v>59</v>
      </c>
      <c r="H355" s="4">
        <v>0</v>
      </c>
      <c r="I355" s="5">
        <v>94.1</v>
      </c>
      <c r="J355">
        <v>170220</v>
      </c>
      <c r="M355" t="s">
        <v>57</v>
      </c>
      <c r="N355" t="s">
        <v>69</v>
      </c>
      <c r="O355" s="2">
        <v>-8.5507246438965012E-6</v>
      </c>
      <c r="P355" s="2">
        <v>-7.6811594738046551E-6</v>
      </c>
      <c r="Q355" s="2">
        <v>-0.95041647553443909</v>
      </c>
      <c r="R355" s="2">
        <v>-0.67873312348330228</v>
      </c>
      <c r="S355" s="2">
        <v>1.1678913178585935</v>
      </c>
      <c r="T355" s="5">
        <f t="shared" ref="T355:V355" si="706">IFERROR(MROUND(Q355,0.2),-MROUND(ABS(Q355),0.2))</f>
        <v>-1</v>
      </c>
      <c r="U355" s="5">
        <f t="shared" si="706"/>
        <v>-0.60000000000000009</v>
      </c>
      <c r="V355" s="5">
        <f t="shared" si="706"/>
        <v>1.2000000000000002</v>
      </c>
      <c r="W355" s="2">
        <f t="shared" ref="W355:Y355" si="707">Q355^2</f>
        <v>0.90329147696730505</v>
      </c>
      <c r="X355" s="2">
        <f t="shared" si="707"/>
        <v>0.46067865291339966</v>
      </c>
      <c r="Y355" s="2">
        <f t="shared" si="707"/>
        <v>1.3639701303294822</v>
      </c>
    </row>
    <row r="356" spans="1:25" x14ac:dyDescent="0.7">
      <c r="A356" t="s">
        <v>56</v>
      </c>
      <c r="B356" s="3">
        <v>0.65656250000000005</v>
      </c>
      <c r="C356" t="s">
        <v>57</v>
      </c>
      <c r="D356" s="2">
        <v>37.632894999999998</v>
      </c>
      <c r="E356" t="s">
        <v>58</v>
      </c>
      <c r="F356" s="2">
        <v>141.01361</v>
      </c>
      <c r="G356" t="s">
        <v>59</v>
      </c>
      <c r="H356" s="4">
        <v>0</v>
      </c>
      <c r="I356" s="5">
        <v>94.1</v>
      </c>
      <c r="J356">
        <v>170220</v>
      </c>
      <c r="M356" t="s">
        <v>57</v>
      </c>
      <c r="N356" t="s">
        <v>89</v>
      </c>
      <c r="O356" s="2">
        <v>-1.0217391313460666E-5</v>
      </c>
      <c r="P356" s="2">
        <v>-7.6811594738046551E-6</v>
      </c>
      <c r="Q356" s="2">
        <v>-1.1365328030604256</v>
      </c>
      <c r="R356" s="2">
        <v>-0.67873312348330228</v>
      </c>
      <c r="S356" s="2">
        <v>1.3203607648542799</v>
      </c>
      <c r="T356" s="5">
        <f t="shared" ref="T356:V356" si="708">IFERROR(MROUND(Q356,0.2),-MROUND(ABS(Q356),0.2))</f>
        <v>-1.2000000000000002</v>
      </c>
      <c r="U356" s="5">
        <f t="shared" si="708"/>
        <v>-0.60000000000000009</v>
      </c>
      <c r="V356" s="5">
        <f t="shared" si="708"/>
        <v>1.4000000000000001</v>
      </c>
      <c r="W356" s="2">
        <f t="shared" ref="W356:Y356" si="709">Q356^2</f>
        <v>1.2917068124323881</v>
      </c>
      <c r="X356" s="2">
        <f t="shared" si="709"/>
        <v>0.46067865291339966</v>
      </c>
      <c r="Y356" s="2">
        <f t="shared" si="709"/>
        <v>1.7433525493665789</v>
      </c>
    </row>
    <row r="357" spans="1:25" x14ac:dyDescent="0.7">
      <c r="A357" t="s">
        <v>56</v>
      </c>
      <c r="B357" s="3">
        <v>0.65658564814814813</v>
      </c>
      <c r="C357" t="s">
        <v>57</v>
      </c>
      <c r="D357" s="2">
        <v>37.63289833333333</v>
      </c>
      <c r="E357" t="s">
        <v>58</v>
      </c>
      <c r="F357" s="2">
        <v>141.01361166666666</v>
      </c>
      <c r="G357" t="s">
        <v>59</v>
      </c>
      <c r="H357" s="4">
        <v>0</v>
      </c>
      <c r="I357" s="5">
        <v>94.1</v>
      </c>
      <c r="J357">
        <v>170220</v>
      </c>
      <c r="M357" t="s">
        <v>57</v>
      </c>
      <c r="N357" t="s">
        <v>65</v>
      </c>
      <c r="O357" s="2">
        <v>-6.8840579814377634E-6</v>
      </c>
      <c r="P357" s="2">
        <v>-6.0144928113459173E-6</v>
      </c>
      <c r="Q357" s="2">
        <v>-0.76625025831750149</v>
      </c>
      <c r="R357" s="2">
        <v>-0.52916949765318511</v>
      </c>
      <c r="S357" s="2">
        <v>0.93121416317648631</v>
      </c>
      <c r="T357" s="5">
        <f t="shared" ref="T357:V357" si="710">IFERROR(MROUND(Q357,0.2),-MROUND(ABS(Q357),0.2))</f>
        <v>-0.8</v>
      </c>
      <c r="U357" s="5">
        <f t="shared" si="710"/>
        <v>-0.60000000000000009</v>
      </c>
      <c r="V357" s="5">
        <f t="shared" si="710"/>
        <v>1</v>
      </c>
      <c r="W357" s="2">
        <f t="shared" ref="W357:Y357" si="711">Q357^2</f>
        <v>0.58713945837163772</v>
      </c>
      <c r="X357" s="2">
        <f t="shared" si="711"/>
        <v>0.2800203572465243</v>
      </c>
      <c r="Y357" s="2">
        <f t="shared" si="711"/>
        <v>0.86715981770048367</v>
      </c>
    </row>
    <row r="358" spans="1:25" x14ac:dyDescent="0.7">
      <c r="A358" t="s">
        <v>56</v>
      </c>
      <c r="B358" s="3">
        <v>0.65660879629629632</v>
      </c>
      <c r="C358" t="s">
        <v>57</v>
      </c>
      <c r="D358" s="2">
        <v>37.632901666666662</v>
      </c>
      <c r="E358" t="s">
        <v>58</v>
      </c>
      <c r="F358" s="2">
        <v>141.01361166666666</v>
      </c>
      <c r="G358" t="s">
        <v>59</v>
      </c>
      <c r="H358" s="4">
        <v>0</v>
      </c>
      <c r="I358" s="5">
        <v>94.1</v>
      </c>
      <c r="J358">
        <v>170220</v>
      </c>
      <c r="M358" t="s">
        <v>57</v>
      </c>
      <c r="N358" t="s">
        <v>61</v>
      </c>
      <c r="O358" s="2">
        <v>-3.5507246494148603E-6</v>
      </c>
      <c r="P358" s="2">
        <v>-6.0144928113459173E-6</v>
      </c>
      <c r="Q358" s="2">
        <v>-0.3918667507223268</v>
      </c>
      <c r="R358" s="2">
        <v>-0.52916949765318511</v>
      </c>
      <c r="S358" s="2">
        <v>0.66529153287410736</v>
      </c>
      <c r="T358" s="5">
        <f t="shared" ref="T358:V358" si="712">IFERROR(MROUND(Q358,0.2),-MROUND(ABS(Q358),0.2))</f>
        <v>-0.4</v>
      </c>
      <c r="U358" s="5">
        <f t="shared" si="712"/>
        <v>-0.60000000000000009</v>
      </c>
      <c r="V358" s="5">
        <f t="shared" si="712"/>
        <v>0.60000000000000009</v>
      </c>
      <c r="W358" s="2">
        <f t="shared" ref="W358:Y358" si="713">Q358^2</f>
        <v>0.1535595503216742</v>
      </c>
      <c r="X358" s="2">
        <f t="shared" si="713"/>
        <v>0.2800203572465243</v>
      </c>
      <c r="Y358" s="2">
        <f t="shared" si="713"/>
        <v>0.44261282371397948</v>
      </c>
    </row>
    <row r="359" spans="1:25" x14ac:dyDescent="0.7">
      <c r="A359" t="s">
        <v>56</v>
      </c>
      <c r="B359" s="3">
        <v>0.65662037037037035</v>
      </c>
      <c r="C359" t="s">
        <v>57</v>
      </c>
      <c r="D359" s="2">
        <v>37.632905000000001</v>
      </c>
      <c r="E359" t="s">
        <v>58</v>
      </c>
      <c r="F359" s="2">
        <v>141.01361333333335</v>
      </c>
      <c r="G359" t="s">
        <v>59</v>
      </c>
      <c r="H359" s="4">
        <v>0</v>
      </c>
      <c r="I359" s="5">
        <v>94.1</v>
      </c>
      <c r="J359">
        <v>170220</v>
      </c>
      <c r="M359" t="s">
        <v>57</v>
      </c>
      <c r="N359" t="s">
        <v>62</v>
      </c>
      <c r="O359" s="2">
        <v>-2.1739131028652992E-7</v>
      </c>
      <c r="P359" s="2">
        <v>-4.34782612046547E-6</v>
      </c>
      <c r="Q359" s="2">
        <v>0</v>
      </c>
      <c r="R359" s="2">
        <v>-0.38016659021377563</v>
      </c>
      <c r="S359" s="2">
        <v>0.38016659021377563</v>
      </c>
      <c r="T359" s="5">
        <f t="shared" ref="T359:V359" si="714">IFERROR(MROUND(Q359,0.2),-MROUND(ABS(Q359),0.2))</f>
        <v>0</v>
      </c>
      <c r="U359" s="5">
        <f t="shared" si="714"/>
        <v>-0.4</v>
      </c>
      <c r="V359" s="5">
        <f t="shared" si="714"/>
        <v>0.4</v>
      </c>
      <c r="W359" s="2">
        <f t="shared" ref="W359:Y359" si="715">Q359^2</f>
        <v>0</v>
      </c>
      <c r="X359" s="2">
        <f t="shared" si="715"/>
        <v>0.14452663631476881</v>
      </c>
      <c r="Y359" s="2">
        <f t="shared" si="715"/>
        <v>0.14452663631476881</v>
      </c>
    </row>
    <row r="360" spans="1:25" x14ac:dyDescent="0.7">
      <c r="A360" t="s">
        <v>56</v>
      </c>
      <c r="B360" s="3">
        <v>0.6566319444444445</v>
      </c>
      <c r="C360" t="s">
        <v>57</v>
      </c>
      <c r="D360" s="2">
        <v>37.632908333333333</v>
      </c>
      <c r="E360" t="s">
        <v>58</v>
      </c>
      <c r="F360" s="2">
        <v>141.01361499999999</v>
      </c>
      <c r="G360" t="s">
        <v>59</v>
      </c>
      <c r="H360" s="4">
        <v>0.37040000000000006</v>
      </c>
      <c r="I360" s="5">
        <v>94.1</v>
      </c>
      <c r="J360">
        <v>170220</v>
      </c>
      <c r="M360" t="s">
        <v>57</v>
      </c>
      <c r="N360" t="s">
        <v>90</v>
      </c>
      <c r="O360" s="2">
        <v>3.1159420217363731E-6</v>
      </c>
      <c r="P360" s="2">
        <v>-2.6811594864284416E-6</v>
      </c>
      <c r="Q360" s="2">
        <v>0.34267753328923733</v>
      </c>
      <c r="R360" s="2">
        <v>-0.23280354079412158</v>
      </c>
      <c r="S360" s="2">
        <v>0.41427693655817155</v>
      </c>
      <c r="T360" s="5">
        <f t="shared" ref="T360:V360" si="716">IFERROR(MROUND(Q360,0.2),-MROUND(ABS(Q360),0.2))</f>
        <v>0.4</v>
      </c>
      <c r="U360" s="5">
        <f t="shared" si="716"/>
        <v>-0.2</v>
      </c>
      <c r="V360" s="5">
        <f t="shared" si="716"/>
        <v>0.4</v>
      </c>
      <c r="W360" s="2">
        <f t="shared" ref="W360:Y360" si="717">Q360^2</f>
        <v>0.11742789182119637</v>
      </c>
      <c r="X360" s="2">
        <f t="shared" si="717"/>
        <v>5.4197488606280229E-2</v>
      </c>
      <c r="Y360" s="2">
        <f t="shared" si="717"/>
        <v>0.17162538016402329</v>
      </c>
    </row>
    <row r="361" spans="1:25" x14ac:dyDescent="0.7">
      <c r="A361" t="s">
        <v>56</v>
      </c>
      <c r="B361" s="3">
        <v>0.65664351851851854</v>
      </c>
      <c r="C361" t="s">
        <v>57</v>
      </c>
      <c r="D361" s="2">
        <v>37.632911666666672</v>
      </c>
      <c r="E361" t="s">
        <v>58</v>
      </c>
      <c r="F361" s="2">
        <v>141.01361833333334</v>
      </c>
      <c r="G361" t="s">
        <v>59</v>
      </c>
      <c r="H361" s="4">
        <v>0.37040000000000006</v>
      </c>
      <c r="I361" s="5">
        <v>94.1</v>
      </c>
      <c r="J361">
        <v>170220</v>
      </c>
      <c r="M361" t="s">
        <v>57</v>
      </c>
      <c r="N361" t="s">
        <v>65</v>
      </c>
      <c r="O361" s="2">
        <v>6.4492753608647035E-6</v>
      </c>
      <c r="P361" s="2">
        <v>6.5217386691074353E-7</v>
      </c>
      <c r="Q361" s="2">
        <v>0.71754870300361073</v>
      </c>
      <c r="R361" s="2">
        <v>0</v>
      </c>
      <c r="S361" s="2">
        <v>0.7238156225017216</v>
      </c>
      <c r="T361" s="5">
        <f t="shared" ref="T361:V361" si="718">IFERROR(MROUND(Q361,0.2),-MROUND(ABS(Q361),0.2))</f>
        <v>0.8</v>
      </c>
      <c r="U361" s="5">
        <f t="shared" si="718"/>
        <v>0</v>
      </c>
      <c r="V361" s="5">
        <f t="shared" si="718"/>
        <v>0.8</v>
      </c>
      <c r="W361" s="2">
        <f t="shared" ref="W361:Y361" si="719">Q361^2</f>
        <v>0.51487614118216396</v>
      </c>
      <c r="X361" s="2">
        <f t="shared" si="719"/>
        <v>0</v>
      </c>
      <c r="Y361" s="2">
        <f t="shared" si="719"/>
        <v>0.52390905537755472</v>
      </c>
    </row>
    <row r="362" spans="1:25" x14ac:dyDescent="0.7">
      <c r="A362" t="s">
        <v>56</v>
      </c>
      <c r="B362" s="3">
        <v>0.65665509259259258</v>
      </c>
      <c r="C362" t="s">
        <v>57</v>
      </c>
      <c r="D362" s="2">
        <v>37.632916666666667</v>
      </c>
      <c r="E362" t="s">
        <v>58</v>
      </c>
      <c r="F362" s="2">
        <v>141.01362</v>
      </c>
      <c r="G362" t="s">
        <v>59</v>
      </c>
      <c r="H362" s="4">
        <v>0</v>
      </c>
      <c r="I362" s="5">
        <v>94.1</v>
      </c>
      <c r="J362">
        <v>170220</v>
      </c>
      <c r="M362" t="s">
        <v>57</v>
      </c>
      <c r="N362" t="s">
        <v>61</v>
      </c>
      <c r="O362" s="2">
        <v>1.1449275355346344E-5</v>
      </c>
      <c r="P362" s="2">
        <v>2.3188405293694814E-6</v>
      </c>
      <c r="Q362" s="2">
        <v>1.2751175080489989</v>
      </c>
      <c r="R362" s="2">
        <v>0.19008329510688782</v>
      </c>
      <c r="S362" s="2">
        <v>1.289207631862727</v>
      </c>
      <c r="T362" s="5">
        <f t="shared" ref="T362:V362" si="720">IFERROR(MROUND(Q362,0.2),-MROUND(ABS(Q362),0.2))</f>
        <v>1.2000000000000002</v>
      </c>
      <c r="U362" s="5">
        <f t="shared" si="720"/>
        <v>0.2</v>
      </c>
      <c r="V362" s="5">
        <f t="shared" si="720"/>
        <v>1.2000000000000002</v>
      </c>
      <c r="W362" s="2">
        <f t="shared" ref="W362:Y362" si="721">Q362^2</f>
        <v>1.6259246593330889</v>
      </c>
      <c r="X362" s="2">
        <f t="shared" si="721"/>
        <v>3.6131659078692202E-2</v>
      </c>
      <c r="Y362" s="2">
        <f t="shared" si="721"/>
        <v>1.6620563180531007</v>
      </c>
    </row>
    <row r="363" spans="1:25" x14ac:dyDescent="0.7">
      <c r="A363" t="s">
        <v>56</v>
      </c>
      <c r="B363" s="3">
        <v>0.65666666666666662</v>
      </c>
      <c r="C363" t="s">
        <v>57</v>
      </c>
      <c r="D363" s="2">
        <v>37.632919999999999</v>
      </c>
      <c r="E363" t="s">
        <v>58</v>
      </c>
      <c r="F363" s="2">
        <v>141.01362166666667</v>
      </c>
      <c r="G363" t="s">
        <v>59</v>
      </c>
      <c r="H363" s="4">
        <v>0.37040000000000006</v>
      </c>
      <c r="I363" s="5">
        <v>94.1</v>
      </c>
      <c r="J363">
        <v>170220</v>
      </c>
      <c r="M363" t="s">
        <v>57</v>
      </c>
      <c r="N363" t="s">
        <v>63</v>
      </c>
      <c r="O363" s="2">
        <v>1.4782608687369247E-5</v>
      </c>
      <c r="P363" s="2">
        <v>3.9855071918282192E-6</v>
      </c>
      <c r="Q363" s="2">
        <v>1.6461696241712069</v>
      </c>
      <c r="R363" s="2">
        <v>0.35561328162303774</v>
      </c>
      <c r="S363" s="2">
        <v>1.6841422857133859</v>
      </c>
      <c r="T363" s="5">
        <f t="shared" ref="T363:V363" si="722">IFERROR(MROUND(Q363,0.2),-MROUND(ABS(Q363),0.2))</f>
        <v>1.6</v>
      </c>
      <c r="U363" s="5">
        <f t="shared" si="722"/>
        <v>0.4</v>
      </c>
      <c r="V363" s="5">
        <f t="shared" si="722"/>
        <v>1.6</v>
      </c>
      <c r="W363" s="2">
        <f t="shared" ref="W363:Y363" si="723">Q363^2</f>
        <v>2.7098744315439727</v>
      </c>
      <c r="X363" s="2">
        <f t="shared" si="723"/>
        <v>0.12646080606670596</v>
      </c>
      <c r="Y363" s="2">
        <f t="shared" si="723"/>
        <v>2.8363352385279077</v>
      </c>
    </row>
    <row r="364" spans="1:25" x14ac:dyDescent="0.7">
      <c r="A364" t="s">
        <v>56</v>
      </c>
      <c r="B364" s="3">
        <v>0.65667824074074077</v>
      </c>
      <c r="C364" t="s">
        <v>57</v>
      </c>
      <c r="D364" s="2">
        <v>37.632919999999999</v>
      </c>
      <c r="E364" t="s">
        <v>58</v>
      </c>
      <c r="F364" s="2">
        <v>141.01362</v>
      </c>
      <c r="G364" t="s">
        <v>59</v>
      </c>
      <c r="H364" s="4">
        <v>0.37040000000000006</v>
      </c>
      <c r="I364" s="5">
        <v>94.1</v>
      </c>
      <c r="J364">
        <v>170220</v>
      </c>
      <c r="M364" t="s">
        <v>57</v>
      </c>
      <c r="N364" t="s">
        <v>63</v>
      </c>
      <c r="O364" s="2">
        <v>1.4782608687369247E-5</v>
      </c>
      <c r="P364" s="2">
        <v>2.3188405293694814E-6</v>
      </c>
      <c r="Q364" s="2">
        <v>1.6461696241712069</v>
      </c>
      <c r="R364" s="2">
        <v>0.19008329510688782</v>
      </c>
      <c r="S364" s="2">
        <v>1.6571077476489171</v>
      </c>
      <c r="T364" s="5">
        <f t="shared" ref="T364:V364" si="724">IFERROR(MROUND(Q364,0.2),-MROUND(ABS(Q364),0.2))</f>
        <v>1.6</v>
      </c>
      <c r="U364" s="5">
        <f t="shared" si="724"/>
        <v>0.2</v>
      </c>
      <c r="V364" s="5">
        <f t="shared" si="724"/>
        <v>1.6</v>
      </c>
      <c r="W364" s="2">
        <f t="shared" ref="W364:Y364" si="725">Q364^2</f>
        <v>2.7098744315439727</v>
      </c>
      <c r="X364" s="2">
        <f t="shared" si="725"/>
        <v>3.6131659078692202E-2</v>
      </c>
      <c r="Y364" s="2">
        <f t="shared" si="725"/>
        <v>2.7460060873180669</v>
      </c>
    </row>
    <row r="365" spans="1:25" x14ac:dyDescent="0.7">
      <c r="A365" t="s">
        <v>56</v>
      </c>
      <c r="B365" s="3">
        <v>0.65668981481481481</v>
      </c>
      <c r="C365" t="s">
        <v>57</v>
      </c>
      <c r="D365" s="2">
        <v>37.632916666666667</v>
      </c>
      <c r="E365" t="s">
        <v>58</v>
      </c>
      <c r="F365" s="2">
        <v>141.01362</v>
      </c>
      <c r="G365" t="s">
        <v>59</v>
      </c>
      <c r="H365" s="4">
        <v>0</v>
      </c>
      <c r="I365" s="5">
        <v>94.1</v>
      </c>
      <c r="J365">
        <v>170220</v>
      </c>
      <c r="M365" t="s">
        <v>57</v>
      </c>
      <c r="N365" t="s">
        <v>87</v>
      </c>
      <c r="O365" s="2">
        <v>1.1449275355346344E-5</v>
      </c>
      <c r="P365" s="2">
        <v>2.3188405293694814E-6</v>
      </c>
      <c r="Q365" s="2">
        <v>1.2751175080489989</v>
      </c>
      <c r="R365" s="2">
        <v>0.19008329510688782</v>
      </c>
      <c r="S365" s="2">
        <v>1.289207631862727</v>
      </c>
      <c r="T365" s="5">
        <f t="shared" ref="T365:V365" si="726">IFERROR(MROUND(Q365,0.2),-MROUND(ABS(Q365),0.2))</f>
        <v>1.2000000000000002</v>
      </c>
      <c r="U365" s="5">
        <f t="shared" si="726"/>
        <v>0.2</v>
      </c>
      <c r="V365" s="5">
        <f t="shared" si="726"/>
        <v>1.2000000000000002</v>
      </c>
      <c r="W365" s="2">
        <f t="shared" ref="W365:Y365" si="727">Q365^2</f>
        <v>1.6259246593330889</v>
      </c>
      <c r="X365" s="2">
        <f t="shared" si="727"/>
        <v>3.6131659078692202E-2</v>
      </c>
      <c r="Y365" s="2">
        <f t="shared" si="727"/>
        <v>1.6620563180531007</v>
      </c>
    </row>
    <row r="366" spans="1:25" x14ac:dyDescent="0.7">
      <c r="A366" t="s">
        <v>56</v>
      </c>
      <c r="B366" s="3">
        <v>0.65670138888888896</v>
      </c>
      <c r="C366" t="s">
        <v>57</v>
      </c>
      <c r="D366" s="2">
        <v>37.632915000000004</v>
      </c>
      <c r="E366" t="s">
        <v>58</v>
      </c>
      <c r="F366" s="2">
        <v>141.01361833333334</v>
      </c>
      <c r="G366" t="s">
        <v>59</v>
      </c>
      <c r="H366" s="4">
        <v>0.55559999999999998</v>
      </c>
      <c r="I366" s="5">
        <v>94.1</v>
      </c>
      <c r="J366">
        <v>170220</v>
      </c>
      <c r="M366" t="s">
        <v>57</v>
      </c>
      <c r="N366" t="s">
        <v>67</v>
      </c>
      <c r="O366" s="2">
        <v>9.7826086928876066E-6</v>
      </c>
      <c r="P366" s="2">
        <v>6.5217386691074353E-7</v>
      </c>
      <c r="Q366" s="2">
        <v>1.0919453957085605</v>
      </c>
      <c r="R366" s="2">
        <v>0</v>
      </c>
      <c r="S366" s="2">
        <v>1.0919453957085605</v>
      </c>
      <c r="T366" s="5">
        <f t="shared" ref="T366:V366" si="728">IFERROR(MROUND(Q366,0.2),-MROUND(ABS(Q366),0.2))</f>
        <v>1</v>
      </c>
      <c r="U366" s="5">
        <f t="shared" si="728"/>
        <v>0</v>
      </c>
      <c r="V366" s="5">
        <f t="shared" si="728"/>
        <v>1</v>
      </c>
      <c r="W366" s="2">
        <f t="shared" ref="W366:Y366" si="729">Q366^2</f>
        <v>1.1923447472091249</v>
      </c>
      <c r="X366" s="2">
        <f t="shared" si="729"/>
        <v>0</v>
      </c>
      <c r="Y366" s="2">
        <f t="shared" si="729"/>
        <v>1.1923447472091249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3241B-CBD1-425B-A5D5-1B02D36B4FA0}">
  <sheetPr codeName="Sheet27"/>
  <dimension ref="A1:F22"/>
  <sheetViews>
    <sheetView workbookViewId="0"/>
  </sheetViews>
  <sheetFormatPr defaultRowHeight="17.649999999999999" x14ac:dyDescent="0.7"/>
  <cols>
    <col min="1" max="1" width="9" style="5"/>
  </cols>
  <sheetData>
    <row r="1" spans="1:6" x14ac:dyDescent="0.7">
      <c r="A1" s="5" t="s">
        <v>108</v>
      </c>
      <c r="B1" t="s">
        <v>109</v>
      </c>
      <c r="C1" t="s">
        <v>110</v>
      </c>
      <c r="E1" t="s">
        <v>112</v>
      </c>
      <c r="F1" s="2">
        <f>AVERAGE(基準点データまとめ!$T$2:$W$366)^(1/2)</f>
        <v>0.47095580283939964</v>
      </c>
    </row>
    <row r="2" spans="1:6" x14ac:dyDescent="0.7">
      <c r="A2" s="5">
        <v>-2</v>
      </c>
      <c r="B2" t="str">
        <f t="shared" ref="B2:B22" si="0">A2-(0.2/2)&amp;"～"&amp;A2+(0.2/2)</f>
        <v>-2.1～-1.9</v>
      </c>
      <c r="C2">
        <f>COUNTIF(基準点データまとめ!$T$2:$T$366,$A2)</f>
        <v>1</v>
      </c>
    </row>
    <row r="3" spans="1:6" x14ac:dyDescent="0.7">
      <c r="A3" s="5">
        <f>IFERROR(MROUND(-1.8,0.2),-MROUND(ABS(-1.8),0.2))</f>
        <v>-1.8</v>
      </c>
      <c r="B3" t="str">
        <f t="shared" si="0"/>
        <v>-1.9～-1.7</v>
      </c>
      <c r="C3">
        <f>COUNTIF(基準点データまとめ!$T$2:$T$366,$A3)</f>
        <v>0</v>
      </c>
    </row>
    <row r="4" spans="1:6" x14ac:dyDescent="0.7">
      <c r="A4" s="5">
        <f>IFERROR(MROUND(-1.6,0.2),-MROUND(ABS(-1.6),0.2))</f>
        <v>-1.6</v>
      </c>
      <c r="B4" t="str">
        <f t="shared" si="0"/>
        <v>-1.7～-1.5</v>
      </c>
      <c r="C4">
        <f>COUNTIF(基準点データまとめ!$T$2:$T$366,$A4)</f>
        <v>0</v>
      </c>
    </row>
    <row r="5" spans="1:6" x14ac:dyDescent="0.7">
      <c r="A5" s="5">
        <f>IFERROR(MROUND(-1.4,0.2),-MROUND(ABS(-1.4),0.2))</f>
        <v>-1.4000000000000001</v>
      </c>
      <c r="B5" t="str">
        <f t="shared" si="0"/>
        <v>-1.5～-1.3</v>
      </c>
      <c r="C5">
        <f>COUNTIF(基準点データまとめ!$T$2:$T$366,$A5)</f>
        <v>0</v>
      </c>
    </row>
    <row r="6" spans="1:6" x14ac:dyDescent="0.7">
      <c r="A6" s="5">
        <f>IFERROR(MROUND(-1.2,0.2),-MROUND(ABS(-1.2),0.2))</f>
        <v>-1.2000000000000002</v>
      </c>
      <c r="B6" t="str">
        <f t="shared" si="0"/>
        <v>-1.3～-1.1</v>
      </c>
      <c r="C6">
        <f>COUNTIF(基準点データまとめ!$T$2:$T$366,$A6)</f>
        <v>4</v>
      </c>
    </row>
    <row r="7" spans="1:6" x14ac:dyDescent="0.7">
      <c r="A7" s="5">
        <f>IFERROR(MROUND(-1,0.2),-MROUND(ABS(-1),0.2))</f>
        <v>-1</v>
      </c>
      <c r="B7" t="str">
        <f t="shared" si="0"/>
        <v>-1.1～-0.9</v>
      </c>
      <c r="C7">
        <f>COUNTIF(基準点データまとめ!$T$2:$T$366,$A7)</f>
        <v>14</v>
      </c>
    </row>
    <row r="8" spans="1:6" x14ac:dyDescent="0.7">
      <c r="A8" s="5">
        <f>IFERROR(MROUND(-0.8,0.2),-MROUND(ABS(-0.8),0.2))</f>
        <v>-0.8</v>
      </c>
      <c r="B8" t="str">
        <f t="shared" si="0"/>
        <v>-0.9～-0.7</v>
      </c>
      <c r="C8">
        <f>COUNTIF(基準点データまとめ!$T$2:$T$366,$A8)</f>
        <v>15</v>
      </c>
    </row>
    <row r="9" spans="1:6" x14ac:dyDescent="0.7">
      <c r="A9" s="5">
        <f>IFERROR(MROUND(-0.6,0.2),-MROUND(ABS(-0.6),0.2))</f>
        <v>-0.60000000000000009</v>
      </c>
      <c r="B9" t="str">
        <f t="shared" si="0"/>
        <v>-0.7～-0.5</v>
      </c>
      <c r="C9">
        <f>COUNTIF(基準点データまとめ!$T$2:$T$366,$A9)</f>
        <v>22</v>
      </c>
    </row>
    <row r="10" spans="1:6" x14ac:dyDescent="0.7">
      <c r="A10" s="5">
        <f>IFERROR(MROUND(-0.4,0.2),-MROUND(ABS(-0.4),0.2))</f>
        <v>-0.4</v>
      </c>
      <c r="B10" t="str">
        <f t="shared" si="0"/>
        <v>-0.5～-0.3</v>
      </c>
      <c r="C10">
        <f>COUNTIF(基準点データまとめ!$T$2:$T$366,$A10)</f>
        <v>55</v>
      </c>
    </row>
    <row r="11" spans="1:6" x14ac:dyDescent="0.7">
      <c r="A11" s="5">
        <f>IFERROR(MROUND(-0.2,0.2),-MROUND(ABS(-0.2),0.2))</f>
        <v>-0.2</v>
      </c>
      <c r="B11" t="str">
        <f t="shared" si="0"/>
        <v>-0.3～-0.1</v>
      </c>
      <c r="C11">
        <f>COUNTIF(基準点データまとめ!$T$2:$T$366,$A11)</f>
        <v>63</v>
      </c>
    </row>
    <row r="12" spans="1:6" x14ac:dyDescent="0.7">
      <c r="A12" s="5">
        <f>IFERROR(MROUND(0,0.2),-MROUND(ABS(0),0.2))</f>
        <v>0</v>
      </c>
      <c r="B12" t="str">
        <f t="shared" si="0"/>
        <v>-0.1～0.1</v>
      </c>
      <c r="C12">
        <f>COUNTIF(基準点データまとめ!$T$2:$T$366,$A12)</f>
        <v>49</v>
      </c>
    </row>
    <row r="13" spans="1:6" x14ac:dyDescent="0.7">
      <c r="A13" s="5">
        <f>IFERROR(MROUND(0.2,0.2),-MROUND(ABS(0.2),0.2))</f>
        <v>0.2</v>
      </c>
      <c r="B13" t="str">
        <f t="shared" si="0"/>
        <v>0.1～0.3</v>
      </c>
      <c r="C13">
        <f>COUNTIF(基準点データまとめ!$T$2:$T$366,$A13)</f>
        <v>36</v>
      </c>
    </row>
    <row r="14" spans="1:6" x14ac:dyDescent="0.7">
      <c r="A14" s="5">
        <f>IFERROR(MROUND(0.4,0.2),-MROUND(ABS(0.4),0.2))</f>
        <v>0.4</v>
      </c>
      <c r="B14" t="str">
        <f t="shared" si="0"/>
        <v>0.3～0.5</v>
      </c>
      <c r="C14">
        <f>COUNTIF(基準点データまとめ!$T$2:$T$366,$A14)</f>
        <v>35</v>
      </c>
    </row>
    <row r="15" spans="1:6" x14ac:dyDescent="0.7">
      <c r="A15" s="5">
        <f>IFERROR(MROUND(0.6,0.2),-MROUND(ABS(0.6),0.2))</f>
        <v>0.60000000000000009</v>
      </c>
      <c r="B15" t="str">
        <f t="shared" si="0"/>
        <v>0.5～0.7</v>
      </c>
      <c r="C15">
        <f>COUNTIF(基準点データまとめ!$T$2:$T$366,$A15)</f>
        <v>41</v>
      </c>
    </row>
    <row r="16" spans="1:6" x14ac:dyDescent="0.7">
      <c r="A16" s="5">
        <f>IFERROR(MROUND(0.8,0.2),-MROUND(ABS(0.8),0.2))</f>
        <v>0.8</v>
      </c>
      <c r="B16" t="str">
        <f t="shared" si="0"/>
        <v>0.7～0.9</v>
      </c>
      <c r="C16">
        <f>COUNTIF(基準点データまとめ!$T$2:$T$366,$A16)</f>
        <v>14</v>
      </c>
    </row>
    <row r="17" spans="1:3" x14ac:dyDescent="0.7">
      <c r="A17" s="5">
        <f>IFERROR(MROUND(1,0.2),-MROUND(ABS(1),0.2))</f>
        <v>1</v>
      </c>
      <c r="B17" t="str">
        <f t="shared" si="0"/>
        <v>0.9～1.1</v>
      </c>
      <c r="C17">
        <f>COUNTIF(基準点データまとめ!$T$2:$T$366,$A17)</f>
        <v>8</v>
      </c>
    </row>
    <row r="18" spans="1:3" x14ac:dyDescent="0.7">
      <c r="A18" s="5">
        <f>IFERROR(MROUND(1.2,0.2),-MROUND(ABS(1.2),0.2))</f>
        <v>1.2000000000000002</v>
      </c>
      <c r="B18" t="str">
        <f t="shared" si="0"/>
        <v>1.1～1.3</v>
      </c>
      <c r="C18">
        <f>COUNTIF(基準点データまとめ!$T$2:$T$366,$A18)</f>
        <v>3</v>
      </c>
    </row>
    <row r="19" spans="1:3" x14ac:dyDescent="0.7">
      <c r="A19" s="5">
        <f>IFERROR(MROUND(1.4,0.2),-MROUND(ABS(1.4),0.2))</f>
        <v>1.4000000000000001</v>
      </c>
      <c r="B19" t="str">
        <f t="shared" si="0"/>
        <v>1.3～1.5</v>
      </c>
      <c r="C19">
        <f>COUNTIF(基準点データまとめ!$T$2:$T$366,$A19)</f>
        <v>0</v>
      </c>
    </row>
    <row r="20" spans="1:3" x14ac:dyDescent="0.7">
      <c r="A20" s="5">
        <f>IFERROR(MROUND(1.6,0.2),-MROUND(ABS(1.6),0.2))</f>
        <v>1.6</v>
      </c>
      <c r="B20" t="str">
        <f t="shared" si="0"/>
        <v>1.5～1.7</v>
      </c>
      <c r="C20">
        <f>COUNTIF(基準点データまとめ!$T$2:$T$366,$A20)</f>
        <v>4</v>
      </c>
    </row>
    <row r="21" spans="1:3" x14ac:dyDescent="0.7">
      <c r="A21" s="5">
        <f>IFERROR(MROUND(1.8,0.2),-MROUND(ABS(1.8),0.2))</f>
        <v>1.8</v>
      </c>
      <c r="B21" t="str">
        <f t="shared" si="0"/>
        <v>1.7～1.9</v>
      </c>
      <c r="C21">
        <f>COUNTIF(基準点データまとめ!$T$2:$T$366,$A21)</f>
        <v>0</v>
      </c>
    </row>
    <row r="22" spans="1:3" x14ac:dyDescent="0.7">
      <c r="A22" s="5">
        <f>IFERROR(MROUND(2,0.2),-MROUND(ABS(2),0.2))</f>
        <v>2</v>
      </c>
      <c r="B22" t="str">
        <f t="shared" si="0"/>
        <v>1.9～2.1</v>
      </c>
      <c r="C22">
        <f>COUNTIF(基準点データまとめ!$T$2:$T$366,$A22)</f>
        <v>1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43488-510C-4433-BA28-5A864819361A}">
  <sheetPr codeName="Sheet28"/>
  <dimension ref="A1:F55"/>
  <sheetViews>
    <sheetView workbookViewId="0"/>
  </sheetViews>
  <sheetFormatPr defaultRowHeight="17.649999999999999" x14ac:dyDescent="0.7"/>
  <cols>
    <col min="1" max="1" width="9" style="5"/>
  </cols>
  <sheetData>
    <row r="1" spans="1:6" x14ac:dyDescent="0.7">
      <c r="A1" s="5" t="s">
        <v>108</v>
      </c>
      <c r="B1" t="s">
        <v>109</v>
      </c>
      <c r="C1" t="s">
        <v>110</v>
      </c>
      <c r="E1" t="s">
        <v>112</v>
      </c>
      <c r="F1" s="2">
        <f>AVERAGE(基準点データまとめ!$U$2:$X$366)^(1/2)</f>
        <v>0.56870836319090856</v>
      </c>
    </row>
    <row r="2" spans="1:6" x14ac:dyDescent="0.7">
      <c r="A2" s="5">
        <v>-9</v>
      </c>
      <c r="B2" t="str">
        <f t="shared" ref="B2:B33" si="0">A2-(0.2/2)&amp;"～"&amp;A2+(0.2/2)</f>
        <v>-9.1～-8.9</v>
      </c>
      <c r="C2">
        <f>COUNTIF(基準点データまとめ!$U$2:$U$366,$A2)</f>
        <v>1</v>
      </c>
    </row>
    <row r="3" spans="1:6" x14ac:dyDescent="0.7">
      <c r="A3" s="5">
        <f>IFERROR(MROUND(-8.8,0.2),-MROUND(ABS(-8.8),0.2))</f>
        <v>-8.8000000000000007</v>
      </c>
      <c r="B3" t="str">
        <f t="shared" si="0"/>
        <v>-8.9～-8.7</v>
      </c>
      <c r="C3">
        <f>COUNTIF(基準点データまとめ!$U$2:$U$366,$A3)</f>
        <v>0</v>
      </c>
    </row>
    <row r="4" spans="1:6" x14ac:dyDescent="0.7">
      <c r="A4" s="5">
        <f>IFERROR(MROUND(-8.6,0.2),-MROUND(ABS(-8.6),0.2))</f>
        <v>-8.6</v>
      </c>
      <c r="B4" t="str">
        <f t="shared" si="0"/>
        <v>-8.7～-8.5</v>
      </c>
      <c r="C4">
        <f>COUNTIF(基準点データまとめ!$U$2:$U$366,$A4)</f>
        <v>0</v>
      </c>
    </row>
    <row r="5" spans="1:6" x14ac:dyDescent="0.7">
      <c r="A5" s="5">
        <f>IFERROR(MROUND(-8.4,0.2),-MROUND(ABS(-8.4),0.2))</f>
        <v>-8.4</v>
      </c>
      <c r="B5" t="str">
        <f t="shared" si="0"/>
        <v>-8.5～-8.3</v>
      </c>
      <c r="C5">
        <f>COUNTIF(基準点データまとめ!$U$2:$U$366,$A5)</f>
        <v>0</v>
      </c>
    </row>
    <row r="6" spans="1:6" x14ac:dyDescent="0.7">
      <c r="A6" s="5">
        <f>IFERROR(MROUND(-8.2,0.2),-MROUND(ABS(-8.2),0.2))</f>
        <v>-8.2000000000000011</v>
      </c>
      <c r="B6" t="str">
        <f t="shared" si="0"/>
        <v>-8.3～-8.1</v>
      </c>
      <c r="C6">
        <f>COUNTIF(基準点データまとめ!$U$2:$U$366,$A6)</f>
        <v>0</v>
      </c>
    </row>
    <row r="7" spans="1:6" x14ac:dyDescent="0.7">
      <c r="A7" s="5">
        <f>IFERROR(MROUND(-8,0.2),-MROUND(ABS(-8),0.2))</f>
        <v>-8</v>
      </c>
      <c r="B7" t="str">
        <f t="shared" si="0"/>
        <v>-8.1～-7.9</v>
      </c>
      <c r="C7">
        <f>COUNTIF(基準点データまとめ!$U$2:$U$366,$A7)</f>
        <v>0</v>
      </c>
    </row>
    <row r="8" spans="1:6" x14ac:dyDescent="0.7">
      <c r="A8" s="5">
        <f>IFERROR(MROUND(-7.8,0.2),-MROUND(ABS(-7.8),0.2))</f>
        <v>-7.8000000000000007</v>
      </c>
      <c r="B8" t="str">
        <f t="shared" si="0"/>
        <v>-7.9～-7.7</v>
      </c>
      <c r="C8">
        <f>COUNTIF(基準点データまとめ!$U$2:$U$366,$A8)</f>
        <v>0</v>
      </c>
    </row>
    <row r="9" spans="1:6" x14ac:dyDescent="0.7">
      <c r="A9" s="5">
        <f>IFERROR(MROUND(-7.6,0.2),-MROUND(ABS(-7.6),0.2))</f>
        <v>-7.6000000000000005</v>
      </c>
      <c r="B9" t="str">
        <f t="shared" si="0"/>
        <v>-7.7～-7.5</v>
      </c>
      <c r="C9">
        <f>COUNTIF(基準点データまとめ!$U$2:$U$366,$A9)</f>
        <v>0</v>
      </c>
    </row>
    <row r="10" spans="1:6" x14ac:dyDescent="0.7">
      <c r="A10" s="5">
        <f>IFERROR(MROUND(-7.4,0.2),-MROUND(ABS(-7.4),0.2))</f>
        <v>-7.4</v>
      </c>
      <c r="B10" t="str">
        <f t="shared" si="0"/>
        <v>-7.5～-7.3</v>
      </c>
      <c r="C10">
        <f>COUNTIF(基準点データまとめ!$U$2:$U$366,$A10)</f>
        <v>0</v>
      </c>
    </row>
    <row r="11" spans="1:6" x14ac:dyDescent="0.7">
      <c r="A11" s="5">
        <f>IFERROR(MROUND(-7.2,0.2),-MROUND(ABS(-7.2),0.2))</f>
        <v>-7.2</v>
      </c>
      <c r="B11" t="str">
        <f t="shared" si="0"/>
        <v>-7.3～-7.1</v>
      </c>
      <c r="C11">
        <f>COUNTIF(基準点データまとめ!$U$2:$U$366,$A11)</f>
        <v>0</v>
      </c>
    </row>
    <row r="12" spans="1:6" x14ac:dyDescent="0.7">
      <c r="A12" s="5">
        <f>IFERROR(MROUND(-7,0.2),-MROUND(ABS(-7),0.2))</f>
        <v>-7</v>
      </c>
      <c r="B12" t="str">
        <f t="shared" si="0"/>
        <v>-7.1～-6.9</v>
      </c>
      <c r="C12">
        <f>COUNTIF(基準点データまとめ!$U$2:$U$366,$A12)</f>
        <v>0</v>
      </c>
    </row>
    <row r="13" spans="1:6" x14ac:dyDescent="0.7">
      <c r="A13" s="5">
        <f>IFERROR(MROUND(-6.8,0.2),-MROUND(ABS(-6.8),0.2))</f>
        <v>-6.8000000000000007</v>
      </c>
      <c r="B13" t="str">
        <f t="shared" si="0"/>
        <v>-6.9～-6.7</v>
      </c>
      <c r="C13">
        <f>COUNTIF(基準点データまとめ!$U$2:$U$366,$A13)</f>
        <v>0</v>
      </c>
    </row>
    <row r="14" spans="1:6" x14ac:dyDescent="0.7">
      <c r="A14" s="5">
        <f>IFERROR(MROUND(-6.6,0.2),-MROUND(ABS(-6.6),0.2))</f>
        <v>-6.6000000000000005</v>
      </c>
      <c r="B14" t="str">
        <f t="shared" si="0"/>
        <v>-6.7～-6.5</v>
      </c>
      <c r="C14">
        <f>COUNTIF(基準点データまとめ!$U$2:$U$366,$A14)</f>
        <v>0</v>
      </c>
    </row>
    <row r="15" spans="1:6" x14ac:dyDescent="0.7">
      <c r="A15" s="5">
        <f>IFERROR(MROUND(-6.4,0.2),-MROUND(ABS(-6.4),0.2))</f>
        <v>-6.4</v>
      </c>
      <c r="B15" t="str">
        <f t="shared" si="0"/>
        <v>-6.5～-6.3</v>
      </c>
      <c r="C15">
        <f>COUNTIF(基準点データまとめ!$U$2:$U$366,$A15)</f>
        <v>0</v>
      </c>
    </row>
    <row r="16" spans="1:6" x14ac:dyDescent="0.7">
      <c r="A16" s="5">
        <f>IFERROR(MROUND(-6.2,0.2),-MROUND(ABS(-6.2),0.2))</f>
        <v>-6.2</v>
      </c>
      <c r="B16" t="str">
        <f t="shared" si="0"/>
        <v>-6.3～-6.1</v>
      </c>
      <c r="C16">
        <f>COUNTIF(基準点データまとめ!$U$2:$U$366,$A16)</f>
        <v>0</v>
      </c>
    </row>
    <row r="17" spans="1:3" x14ac:dyDescent="0.7">
      <c r="A17" s="5">
        <f>IFERROR(MROUND(-6,0.2),-MROUND(ABS(-6),0.2))</f>
        <v>-6</v>
      </c>
      <c r="B17" t="str">
        <f t="shared" si="0"/>
        <v>-6.1～-5.9</v>
      </c>
      <c r="C17">
        <f>COUNTIF(基準点データまとめ!$U$2:$U$366,$A17)</f>
        <v>0</v>
      </c>
    </row>
    <row r="18" spans="1:3" x14ac:dyDescent="0.7">
      <c r="A18" s="5">
        <f>IFERROR(MROUND(-5.8,0.2),-MROUND(ABS(-5.8),0.2))</f>
        <v>-5.8000000000000007</v>
      </c>
      <c r="B18" t="str">
        <f t="shared" si="0"/>
        <v>-5.9～-5.7</v>
      </c>
      <c r="C18">
        <f>COUNTIF(基準点データまとめ!$U$2:$U$366,$A18)</f>
        <v>0</v>
      </c>
    </row>
    <row r="19" spans="1:3" x14ac:dyDescent="0.7">
      <c r="A19" s="5">
        <f>IFERROR(MROUND(-5.6,0.2),-MROUND(ABS(-5.6),0.2))</f>
        <v>-5.6000000000000005</v>
      </c>
      <c r="B19" t="str">
        <f t="shared" si="0"/>
        <v>-5.7～-5.5</v>
      </c>
      <c r="C19">
        <f>COUNTIF(基準点データまとめ!$U$2:$U$366,$A19)</f>
        <v>0</v>
      </c>
    </row>
    <row r="20" spans="1:3" x14ac:dyDescent="0.7">
      <c r="A20" s="5">
        <f>IFERROR(MROUND(-5.4,0.2),-MROUND(ABS(-5.4),0.2))</f>
        <v>-5.4</v>
      </c>
      <c r="B20" t="str">
        <f t="shared" si="0"/>
        <v>-5.5～-5.3</v>
      </c>
      <c r="C20">
        <f>COUNTIF(基準点データまとめ!$U$2:$U$366,$A20)</f>
        <v>0</v>
      </c>
    </row>
    <row r="21" spans="1:3" x14ac:dyDescent="0.7">
      <c r="A21" s="5">
        <f>IFERROR(MROUND(-5.2,0.2),-MROUND(ABS(-5.2),0.2))</f>
        <v>-5.2</v>
      </c>
      <c r="B21" t="str">
        <f t="shared" si="0"/>
        <v>-5.3～-5.1</v>
      </c>
      <c r="C21">
        <f>COUNTIF(基準点データまとめ!$U$2:$U$366,$A21)</f>
        <v>0</v>
      </c>
    </row>
    <row r="22" spans="1:3" x14ac:dyDescent="0.7">
      <c r="A22" s="5">
        <f>IFERROR(MROUND(-5,0.2),-MROUND(ABS(-5),0.2))</f>
        <v>-5</v>
      </c>
      <c r="B22" t="str">
        <f t="shared" si="0"/>
        <v>-5.1～-4.9</v>
      </c>
      <c r="C22">
        <f>COUNTIF(基準点データまとめ!$U$2:$U$366,$A22)</f>
        <v>0</v>
      </c>
    </row>
    <row r="23" spans="1:3" x14ac:dyDescent="0.7">
      <c r="A23" s="5">
        <f>IFERROR(MROUND(-4.8,0.2),-MROUND(ABS(-4.8),0.2))</f>
        <v>-4.8000000000000007</v>
      </c>
      <c r="B23" t="str">
        <f t="shared" si="0"/>
        <v>-4.9～-4.7</v>
      </c>
      <c r="C23">
        <f>COUNTIF(基準点データまとめ!$U$2:$U$366,$A23)</f>
        <v>0</v>
      </c>
    </row>
    <row r="24" spans="1:3" x14ac:dyDescent="0.7">
      <c r="A24" s="5">
        <f>IFERROR(MROUND(-4.6,0.2),-MROUND(ABS(-4.6),0.2))</f>
        <v>-4.6000000000000005</v>
      </c>
      <c r="B24" t="str">
        <f t="shared" si="0"/>
        <v>-4.7～-4.5</v>
      </c>
      <c r="C24">
        <f>COUNTIF(基準点データまとめ!$U$2:$U$366,$A24)</f>
        <v>0</v>
      </c>
    </row>
    <row r="25" spans="1:3" x14ac:dyDescent="0.7">
      <c r="A25" s="5">
        <f>IFERROR(MROUND(-4.4,0.2),-MROUND(ABS(-4.4),0.2))</f>
        <v>-4.4000000000000004</v>
      </c>
      <c r="B25" t="str">
        <f t="shared" si="0"/>
        <v>-4.5～-4.3</v>
      </c>
      <c r="C25">
        <f>COUNTIF(基準点データまとめ!$U$2:$U$366,$A25)</f>
        <v>0</v>
      </c>
    </row>
    <row r="26" spans="1:3" x14ac:dyDescent="0.7">
      <c r="A26" s="5">
        <f>IFERROR(MROUND(-4.2,0.2),-MROUND(ABS(-4.2),0.2))</f>
        <v>-4.2</v>
      </c>
      <c r="B26" t="str">
        <f t="shared" si="0"/>
        <v>-4.3～-4.1</v>
      </c>
      <c r="C26">
        <f>COUNTIF(基準点データまとめ!$U$2:$U$366,$A26)</f>
        <v>0</v>
      </c>
    </row>
    <row r="27" spans="1:3" x14ac:dyDescent="0.7">
      <c r="A27" s="5">
        <f>IFERROR(MROUND(-4,0.2),-MROUND(ABS(-4),0.2))</f>
        <v>-4</v>
      </c>
      <c r="B27" t="str">
        <f t="shared" si="0"/>
        <v>-4.1～-3.9</v>
      </c>
      <c r="C27">
        <f>COUNTIF(基準点データまとめ!$U$2:$U$366,$A27)</f>
        <v>0</v>
      </c>
    </row>
    <row r="28" spans="1:3" x14ac:dyDescent="0.7">
      <c r="A28" s="5">
        <f>IFERROR(MROUND(-3.8,0.2),-MROUND(ABS(-3.8),0.2))</f>
        <v>-3.8000000000000003</v>
      </c>
      <c r="B28" t="str">
        <f t="shared" si="0"/>
        <v>-3.9～-3.7</v>
      </c>
      <c r="C28">
        <f>COUNTIF(基準点データまとめ!$U$2:$U$366,$A28)</f>
        <v>0</v>
      </c>
    </row>
    <row r="29" spans="1:3" x14ac:dyDescent="0.7">
      <c r="A29" s="5">
        <f>IFERROR(MROUND(-3.6,0.2),-MROUND(ABS(-3.6),0.2))</f>
        <v>-3.6</v>
      </c>
      <c r="B29" t="str">
        <f t="shared" si="0"/>
        <v>-3.7～-3.5</v>
      </c>
      <c r="C29">
        <f>COUNTIF(基準点データまとめ!$U$2:$U$366,$A29)</f>
        <v>0</v>
      </c>
    </row>
    <row r="30" spans="1:3" x14ac:dyDescent="0.7">
      <c r="A30" s="5">
        <f>IFERROR(MROUND(-3.4,0.2),-MROUND(ABS(-3.4),0.2))</f>
        <v>-3.4000000000000004</v>
      </c>
      <c r="B30" t="str">
        <f t="shared" si="0"/>
        <v>-3.5～-3.3</v>
      </c>
      <c r="C30">
        <f>COUNTIF(基準点データまとめ!$U$2:$U$366,$A30)</f>
        <v>0</v>
      </c>
    </row>
    <row r="31" spans="1:3" x14ac:dyDescent="0.7">
      <c r="A31" s="5">
        <f>IFERROR(MROUND(-3.2,0.2),-MROUND(ABS(-3.2),0.2))</f>
        <v>-3.2</v>
      </c>
      <c r="B31" t="str">
        <f t="shared" si="0"/>
        <v>-3.3～-3.1</v>
      </c>
      <c r="C31">
        <f>COUNTIF(基準点データまとめ!$U$2:$U$366,$A31)</f>
        <v>0</v>
      </c>
    </row>
    <row r="32" spans="1:3" x14ac:dyDescent="0.7">
      <c r="A32" s="5">
        <f>IFERROR(MROUND(-3,0.2),-MROUND(ABS(-3),0.2))</f>
        <v>-3</v>
      </c>
      <c r="B32" t="str">
        <f t="shared" si="0"/>
        <v>-3.1～-2.9</v>
      </c>
      <c r="C32">
        <f>COUNTIF(基準点データまとめ!$U$2:$U$366,$A32)</f>
        <v>0</v>
      </c>
    </row>
    <row r="33" spans="1:3" x14ac:dyDescent="0.7">
      <c r="A33" s="5">
        <f>IFERROR(MROUND(-2.8,0.2),-MROUND(ABS(-2.8),0.2))</f>
        <v>-2.8000000000000003</v>
      </c>
      <c r="B33" t="str">
        <f t="shared" si="0"/>
        <v>-2.9～-2.7</v>
      </c>
      <c r="C33">
        <f>COUNTIF(基準点データまとめ!$U$2:$U$366,$A33)</f>
        <v>0</v>
      </c>
    </row>
    <row r="34" spans="1:3" x14ac:dyDescent="0.7">
      <c r="A34" s="5">
        <f>IFERROR(MROUND(-2.6,0.2),-MROUND(ABS(-2.6),0.2))</f>
        <v>-2.6</v>
      </c>
      <c r="B34" t="str">
        <f t="shared" ref="B34:B65" si="1">A34-(0.2/2)&amp;"～"&amp;A34+(0.2/2)</f>
        <v>-2.7～-2.5</v>
      </c>
      <c r="C34">
        <f>COUNTIF(基準点データまとめ!$U$2:$U$366,$A34)</f>
        <v>0</v>
      </c>
    </row>
    <row r="35" spans="1:3" x14ac:dyDescent="0.7">
      <c r="A35" s="5">
        <f>IFERROR(MROUND(-2.4,0.2),-MROUND(ABS(-2.4),0.2))</f>
        <v>-2.4000000000000004</v>
      </c>
      <c r="B35" t="str">
        <f t="shared" si="1"/>
        <v>-2.5～-2.3</v>
      </c>
      <c r="C35">
        <f>COUNTIF(基準点データまとめ!$U$2:$U$366,$A35)</f>
        <v>0</v>
      </c>
    </row>
    <row r="36" spans="1:3" x14ac:dyDescent="0.7">
      <c r="A36" s="5">
        <f>IFERROR(MROUND(-2.2,0.2),-MROUND(ABS(-2.2),0.2))</f>
        <v>-2.2000000000000002</v>
      </c>
      <c r="B36" t="str">
        <f t="shared" si="1"/>
        <v>-2.3～-2.1</v>
      </c>
      <c r="C36">
        <f>COUNTIF(基準点データまとめ!$U$2:$U$366,$A36)</f>
        <v>0</v>
      </c>
    </row>
    <row r="37" spans="1:3" x14ac:dyDescent="0.7">
      <c r="A37" s="5">
        <f>IFERROR(MROUND(-2,0.2),-MROUND(ABS(-2),0.2))</f>
        <v>-2</v>
      </c>
      <c r="B37" t="str">
        <f t="shared" si="1"/>
        <v>-2.1～-1.9</v>
      </c>
      <c r="C37">
        <f>COUNTIF(基準点データまとめ!$U$2:$U$366,$A37)</f>
        <v>0</v>
      </c>
    </row>
    <row r="38" spans="1:3" x14ac:dyDescent="0.7">
      <c r="A38" s="5">
        <f>IFERROR(MROUND(-1.8,0.2),-MROUND(ABS(-1.8),0.2))</f>
        <v>-1.8</v>
      </c>
      <c r="B38" t="str">
        <f t="shared" si="1"/>
        <v>-1.9～-1.7</v>
      </c>
      <c r="C38">
        <f>COUNTIF(基準点データまとめ!$U$2:$U$366,$A38)</f>
        <v>0</v>
      </c>
    </row>
    <row r="39" spans="1:3" x14ac:dyDescent="0.7">
      <c r="A39" s="5">
        <f>IFERROR(MROUND(-1.6,0.2),-MROUND(ABS(-1.6),0.2))</f>
        <v>-1.6</v>
      </c>
      <c r="B39" t="str">
        <f t="shared" si="1"/>
        <v>-1.7～-1.5</v>
      </c>
      <c r="C39">
        <f>COUNTIF(基準点データまとめ!$U$2:$U$366,$A39)</f>
        <v>0</v>
      </c>
    </row>
    <row r="40" spans="1:3" x14ac:dyDescent="0.7">
      <c r="A40" s="5">
        <f>IFERROR(MROUND(-1.4,0.2),-MROUND(ABS(-1.4),0.2))</f>
        <v>-1.4000000000000001</v>
      </c>
      <c r="B40" t="str">
        <f t="shared" si="1"/>
        <v>-1.5～-1.3</v>
      </c>
      <c r="C40">
        <f>COUNTIF(基準点データまとめ!$U$2:$U$366,$A40)</f>
        <v>0</v>
      </c>
    </row>
    <row r="41" spans="1:3" x14ac:dyDescent="0.7">
      <c r="A41" s="5">
        <f>IFERROR(MROUND(-1.2,0.2),-MROUND(ABS(-1.2),0.2))</f>
        <v>-1.2000000000000002</v>
      </c>
      <c r="B41" t="str">
        <f t="shared" si="1"/>
        <v>-1.3～-1.1</v>
      </c>
      <c r="C41">
        <f>COUNTIF(基準点データまとめ!$U$2:$U$366,$A41)</f>
        <v>1</v>
      </c>
    </row>
    <row r="42" spans="1:3" x14ac:dyDescent="0.7">
      <c r="A42" s="5">
        <f>IFERROR(MROUND(-1,0.2),-MROUND(ABS(-1),0.2))</f>
        <v>-1</v>
      </c>
      <c r="B42" t="str">
        <f t="shared" si="1"/>
        <v>-1.1～-0.9</v>
      </c>
      <c r="C42">
        <f>COUNTIF(基準点データまとめ!$U$2:$U$366,$A42)</f>
        <v>7</v>
      </c>
    </row>
    <row r="43" spans="1:3" x14ac:dyDescent="0.7">
      <c r="A43" s="5">
        <f>IFERROR(MROUND(-0.8,0.2),-MROUND(ABS(-0.8),0.2))</f>
        <v>-0.8</v>
      </c>
      <c r="B43" t="str">
        <f t="shared" si="1"/>
        <v>-0.9～-0.7</v>
      </c>
      <c r="C43">
        <f>COUNTIF(基準点データまとめ!$U$2:$U$366,$A43)</f>
        <v>1</v>
      </c>
    </row>
    <row r="44" spans="1:3" x14ac:dyDescent="0.7">
      <c r="A44" s="5">
        <f>IFERROR(MROUND(-0.6,0.2),-MROUND(ABS(-0.6),0.2))</f>
        <v>-0.60000000000000009</v>
      </c>
      <c r="B44" t="str">
        <f t="shared" si="1"/>
        <v>-0.7～-0.5</v>
      </c>
      <c r="C44">
        <f>COUNTIF(基準点データまとめ!$U$2:$U$366,$A44)</f>
        <v>30</v>
      </c>
    </row>
    <row r="45" spans="1:3" x14ac:dyDescent="0.7">
      <c r="A45" s="5">
        <f>IFERROR(MROUND(-0.4,0.2),-MROUND(ABS(-0.4),0.2))</f>
        <v>-0.4</v>
      </c>
      <c r="B45" t="str">
        <f t="shared" si="1"/>
        <v>-0.5～-0.3</v>
      </c>
      <c r="C45">
        <f>COUNTIF(基準点データまとめ!$U$2:$U$366,$A45)</f>
        <v>48</v>
      </c>
    </row>
    <row r="46" spans="1:3" x14ac:dyDescent="0.7">
      <c r="A46" s="5">
        <f>IFERROR(MROUND(-0.2,0.2),-MROUND(ABS(-0.2),0.2))</f>
        <v>-0.2</v>
      </c>
      <c r="B46" t="str">
        <f t="shared" si="1"/>
        <v>-0.3～-0.1</v>
      </c>
      <c r="C46">
        <f>COUNTIF(基準点データまとめ!$U$2:$U$366,$A46)</f>
        <v>45</v>
      </c>
    </row>
    <row r="47" spans="1:3" x14ac:dyDescent="0.7">
      <c r="A47" s="5">
        <f>IFERROR(MROUND(0,0.2),-MROUND(ABS(0),0.2))</f>
        <v>0</v>
      </c>
      <c r="B47" t="str">
        <f t="shared" si="1"/>
        <v>-0.1～0.1</v>
      </c>
      <c r="C47">
        <f>COUNTIF(基準点データまとめ!$U$2:$U$366,$A47)</f>
        <v>83</v>
      </c>
    </row>
    <row r="48" spans="1:3" x14ac:dyDescent="0.7">
      <c r="A48" s="5">
        <f>IFERROR(MROUND(0.2,0.2),-MROUND(ABS(0.2),0.2))</f>
        <v>0.2</v>
      </c>
      <c r="B48" t="str">
        <f t="shared" si="1"/>
        <v>0.1～0.3</v>
      </c>
      <c r="C48">
        <f>COUNTIF(基準点データまとめ!$U$2:$U$366,$A48)</f>
        <v>60</v>
      </c>
    </row>
    <row r="49" spans="1:3" x14ac:dyDescent="0.7">
      <c r="A49" s="5">
        <f>IFERROR(MROUND(0.4,0.2),-MROUND(ABS(0.4),0.2))</f>
        <v>0.4</v>
      </c>
      <c r="B49" t="str">
        <f t="shared" si="1"/>
        <v>0.3～0.5</v>
      </c>
      <c r="C49">
        <f>COUNTIF(基準点データまとめ!$U$2:$U$366,$A49)</f>
        <v>50</v>
      </c>
    </row>
    <row r="50" spans="1:3" x14ac:dyDescent="0.7">
      <c r="A50" s="5">
        <f>IFERROR(MROUND(0.6,0.2),-MROUND(ABS(0.6),0.2))</f>
        <v>0.60000000000000009</v>
      </c>
      <c r="B50" t="str">
        <f t="shared" si="1"/>
        <v>0.5～0.7</v>
      </c>
      <c r="C50">
        <f>COUNTIF(基準点データまとめ!$U$2:$U$366,$A50)</f>
        <v>18</v>
      </c>
    </row>
    <row r="51" spans="1:3" x14ac:dyDescent="0.7">
      <c r="A51" s="5">
        <f>IFERROR(MROUND(0.8,0.2),-MROUND(ABS(0.8),0.2))</f>
        <v>0.8</v>
      </c>
      <c r="B51" t="str">
        <f t="shared" si="1"/>
        <v>0.7～0.9</v>
      </c>
      <c r="C51">
        <f>COUNTIF(基準点データまとめ!$U$2:$U$366,$A51)</f>
        <v>12</v>
      </c>
    </row>
    <row r="52" spans="1:3" x14ac:dyDescent="0.7">
      <c r="A52" s="5">
        <f>IFERROR(MROUND(1,0.2),-MROUND(ABS(1),0.2))</f>
        <v>1</v>
      </c>
      <c r="B52" t="str">
        <f t="shared" si="1"/>
        <v>0.9～1.1</v>
      </c>
      <c r="C52">
        <f>COUNTIF(基準点データまとめ!$U$2:$U$366,$A52)</f>
        <v>6</v>
      </c>
    </row>
    <row r="53" spans="1:3" x14ac:dyDescent="0.7">
      <c r="A53" s="5">
        <f>IFERROR(MROUND(1.2,0.2),-MROUND(ABS(1.2),0.2))</f>
        <v>1.2000000000000002</v>
      </c>
      <c r="B53" t="str">
        <f t="shared" si="1"/>
        <v>1.1～1.3</v>
      </c>
      <c r="C53">
        <f>COUNTIF(基準点データまとめ!$U$2:$U$366,$A53)</f>
        <v>1</v>
      </c>
    </row>
    <row r="54" spans="1:3" x14ac:dyDescent="0.7">
      <c r="A54" s="5">
        <f>IFERROR(MROUND(1.4,0.2),-MROUND(ABS(1.4),0.2))</f>
        <v>1.4000000000000001</v>
      </c>
      <c r="B54" t="str">
        <f t="shared" si="1"/>
        <v>1.3～1.5</v>
      </c>
      <c r="C54">
        <f>COUNTIF(基準点データまとめ!$U$2:$U$366,$A54)</f>
        <v>0</v>
      </c>
    </row>
    <row r="55" spans="1:3" x14ac:dyDescent="0.7">
      <c r="A55" s="5">
        <f>IFERROR(MROUND(1.6,0.2),-MROUND(ABS(1.6),0.2))</f>
        <v>1.6</v>
      </c>
      <c r="B55" t="str">
        <f t="shared" si="1"/>
        <v>1.5～1.7</v>
      </c>
      <c r="C55">
        <f>COUNTIF(基準点データまとめ!$U$2:$U$366,$A55)</f>
        <v>2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C372-4417-43EB-830F-13E7C29BFDE3}">
  <sheetPr codeName="Sheet29"/>
  <dimension ref="A1:F47"/>
  <sheetViews>
    <sheetView workbookViewId="0"/>
  </sheetViews>
  <sheetFormatPr defaultRowHeight="17.649999999999999" x14ac:dyDescent="0.7"/>
  <cols>
    <col min="1" max="1" width="9" style="5"/>
  </cols>
  <sheetData>
    <row r="1" spans="1:6" x14ac:dyDescent="0.7">
      <c r="A1" s="5" t="s">
        <v>108</v>
      </c>
      <c r="B1" t="s">
        <v>109</v>
      </c>
      <c r="C1" t="s">
        <v>110</v>
      </c>
      <c r="E1" t="s">
        <v>112</v>
      </c>
      <c r="F1" s="2">
        <f>AVERAGE(基準点データまとめ!$V$2:$Y$366)^(1/2)</f>
        <v>0.70418121790408095</v>
      </c>
    </row>
    <row r="2" spans="1:6" x14ac:dyDescent="0.7">
      <c r="A2" s="5">
        <v>0</v>
      </c>
      <c r="B2" t="str">
        <f t="shared" ref="B2:B47" si="0">A2-(0.2/2)&amp;"～"&amp;A2+(0.2/2)</f>
        <v>-0.1～0.1</v>
      </c>
      <c r="C2">
        <f>COUNTIF(基準点データまとめ!$V$2:$V$366,$A2)</f>
        <v>18</v>
      </c>
    </row>
    <row r="3" spans="1:6" x14ac:dyDescent="0.7">
      <c r="A3" s="5">
        <f>IFERROR(MROUND(0.2,0.2),-MROUND(ABS(0.2),0.2))</f>
        <v>0.2</v>
      </c>
      <c r="B3" t="str">
        <f t="shared" si="0"/>
        <v>0.1～0.3</v>
      </c>
      <c r="C3">
        <f>COUNTIF(基準点データまとめ!$V$2:$V$366,$A3)</f>
        <v>55</v>
      </c>
    </row>
    <row r="4" spans="1:6" x14ac:dyDescent="0.7">
      <c r="A4" s="5">
        <f>IFERROR(MROUND(0.4,0.2),-MROUND(ABS(0.4),0.2))</f>
        <v>0.4</v>
      </c>
      <c r="B4" t="str">
        <f t="shared" si="0"/>
        <v>0.3～0.5</v>
      </c>
      <c r="C4">
        <f>COUNTIF(基準点データまとめ!$V$2:$V$366,$A4)</f>
        <v>91</v>
      </c>
    </row>
    <row r="5" spans="1:6" x14ac:dyDescent="0.7">
      <c r="A5" s="5">
        <f>IFERROR(MROUND(0.6,0.2),-MROUND(ABS(0.6),0.2))</f>
        <v>0.60000000000000009</v>
      </c>
      <c r="B5" t="str">
        <f t="shared" si="0"/>
        <v>0.5～0.7</v>
      </c>
      <c r="C5">
        <f>COUNTIF(基準点データまとめ!$V$2:$V$366,$A5)</f>
        <v>90</v>
      </c>
    </row>
    <row r="6" spans="1:6" x14ac:dyDescent="0.7">
      <c r="A6" s="5">
        <f>IFERROR(MROUND(0.8,0.2),-MROUND(ABS(0.8),0.2))</f>
        <v>0.8</v>
      </c>
      <c r="B6" t="str">
        <f t="shared" si="0"/>
        <v>0.7～0.9</v>
      </c>
      <c r="C6">
        <f>COUNTIF(基準点データまとめ!$V$2:$V$366,$A6)</f>
        <v>44</v>
      </c>
    </row>
    <row r="7" spans="1:6" x14ac:dyDescent="0.7">
      <c r="A7" s="5">
        <f>IFERROR(MROUND(1,0.2),-MROUND(ABS(1),0.2))</f>
        <v>1</v>
      </c>
      <c r="B7" t="str">
        <f t="shared" si="0"/>
        <v>0.9～1.1</v>
      </c>
      <c r="C7">
        <f>COUNTIF(基準点データまとめ!$V$2:$V$366,$A7)</f>
        <v>36</v>
      </c>
    </row>
    <row r="8" spans="1:6" x14ac:dyDescent="0.7">
      <c r="A8" s="5">
        <f>IFERROR(MROUND(1.2,0.2),-MROUND(ABS(1.2),0.2))</f>
        <v>1.2000000000000002</v>
      </c>
      <c r="B8" t="str">
        <f t="shared" si="0"/>
        <v>1.1～1.3</v>
      </c>
      <c r="C8">
        <f>COUNTIF(基準点データまとめ!$V$2:$V$366,$A8)</f>
        <v>18</v>
      </c>
    </row>
    <row r="9" spans="1:6" x14ac:dyDescent="0.7">
      <c r="A9" s="5">
        <f>IFERROR(MROUND(1.4,0.2),-MROUND(ABS(1.4),0.2))</f>
        <v>1.4000000000000001</v>
      </c>
      <c r="B9" t="str">
        <f t="shared" si="0"/>
        <v>1.3～1.5</v>
      </c>
      <c r="C9">
        <f>COUNTIF(基準点データまとめ!$V$2:$V$366,$A9)</f>
        <v>4</v>
      </c>
    </row>
    <row r="10" spans="1:6" x14ac:dyDescent="0.7">
      <c r="A10" s="5">
        <f>IFERROR(MROUND(1.6,0.2),-MROUND(ABS(1.6),0.2))</f>
        <v>1.6</v>
      </c>
      <c r="B10" t="str">
        <f t="shared" si="0"/>
        <v>1.5～1.7</v>
      </c>
      <c r="C10">
        <f>COUNTIF(基準点データまとめ!$V$2:$V$366,$A10)</f>
        <v>5</v>
      </c>
    </row>
    <row r="11" spans="1:6" x14ac:dyDescent="0.7">
      <c r="A11" s="5">
        <f>IFERROR(MROUND(1.8,0.2),-MROUND(ABS(1.8),0.2))</f>
        <v>1.8</v>
      </c>
      <c r="B11" t="str">
        <f t="shared" si="0"/>
        <v>1.7～1.9</v>
      </c>
      <c r="C11">
        <f>COUNTIF(基準点データまとめ!$V$2:$V$366,$A11)</f>
        <v>1</v>
      </c>
    </row>
    <row r="12" spans="1:6" x14ac:dyDescent="0.7">
      <c r="A12" s="5">
        <f>IFERROR(MROUND(2,0.2),-MROUND(ABS(2),0.2))</f>
        <v>2</v>
      </c>
      <c r="B12" t="str">
        <f t="shared" si="0"/>
        <v>1.9～2.1</v>
      </c>
      <c r="C12">
        <f>COUNTIF(基準点データまとめ!$V$2:$V$366,$A12)</f>
        <v>2</v>
      </c>
    </row>
    <row r="13" spans="1:6" x14ac:dyDescent="0.7">
      <c r="A13" s="5">
        <f>IFERROR(MROUND(2.2,0.2),-MROUND(ABS(2.2),0.2))</f>
        <v>2.2000000000000002</v>
      </c>
      <c r="B13" t="str">
        <f t="shared" si="0"/>
        <v>2.1～2.3</v>
      </c>
      <c r="C13">
        <f>COUNTIF(基準点データまとめ!$V$2:$V$366,$A13)</f>
        <v>0</v>
      </c>
    </row>
    <row r="14" spans="1:6" x14ac:dyDescent="0.7">
      <c r="A14" s="5">
        <f>IFERROR(MROUND(2.4,0.2),-MROUND(ABS(2.4),0.2))</f>
        <v>2.4000000000000004</v>
      </c>
      <c r="B14" t="str">
        <f t="shared" si="0"/>
        <v>2.3～2.5</v>
      </c>
      <c r="C14">
        <f>COUNTIF(基準点データまとめ!$V$2:$V$366,$A14)</f>
        <v>0</v>
      </c>
    </row>
    <row r="15" spans="1:6" x14ac:dyDescent="0.7">
      <c r="A15" s="5">
        <f>IFERROR(MROUND(2.6,0.2),-MROUND(ABS(2.6),0.2))</f>
        <v>2.6</v>
      </c>
      <c r="B15" t="str">
        <f t="shared" si="0"/>
        <v>2.5～2.7</v>
      </c>
      <c r="C15">
        <f>COUNTIF(基準点データまとめ!$V$2:$V$366,$A15)</f>
        <v>0</v>
      </c>
    </row>
    <row r="16" spans="1:6" x14ac:dyDescent="0.7">
      <c r="A16" s="5">
        <f>IFERROR(MROUND(2.8,0.2),-MROUND(ABS(2.8),0.2))</f>
        <v>2.8000000000000003</v>
      </c>
      <c r="B16" t="str">
        <f t="shared" si="0"/>
        <v>2.7～2.9</v>
      </c>
      <c r="C16">
        <f>COUNTIF(基準点データまとめ!$V$2:$V$366,$A16)</f>
        <v>0</v>
      </c>
    </row>
    <row r="17" spans="1:3" x14ac:dyDescent="0.7">
      <c r="A17" s="5">
        <f>IFERROR(MROUND(3,0.2),-MROUND(ABS(3),0.2))</f>
        <v>3</v>
      </c>
      <c r="B17" t="str">
        <f t="shared" si="0"/>
        <v>2.9～3.1</v>
      </c>
      <c r="C17">
        <f>COUNTIF(基準点データまとめ!$V$2:$V$366,$A17)</f>
        <v>0</v>
      </c>
    </row>
    <row r="18" spans="1:3" x14ac:dyDescent="0.7">
      <c r="A18" s="5">
        <f>IFERROR(MROUND(3.2,0.2),-MROUND(ABS(3.2),0.2))</f>
        <v>3.2</v>
      </c>
      <c r="B18" t="str">
        <f t="shared" si="0"/>
        <v>3.1～3.3</v>
      </c>
      <c r="C18">
        <f>COUNTIF(基準点データまとめ!$V$2:$V$366,$A18)</f>
        <v>0</v>
      </c>
    </row>
    <row r="19" spans="1:3" x14ac:dyDescent="0.7">
      <c r="A19" s="5">
        <f>IFERROR(MROUND(3.4,0.2),-MROUND(ABS(3.4),0.2))</f>
        <v>3.4000000000000004</v>
      </c>
      <c r="B19" t="str">
        <f t="shared" si="0"/>
        <v>3.3～3.5</v>
      </c>
      <c r="C19">
        <f>COUNTIF(基準点データまとめ!$V$2:$V$366,$A19)</f>
        <v>0</v>
      </c>
    </row>
    <row r="20" spans="1:3" x14ac:dyDescent="0.7">
      <c r="A20" s="5">
        <f>IFERROR(MROUND(3.6,0.2),-MROUND(ABS(3.6),0.2))</f>
        <v>3.6</v>
      </c>
      <c r="B20" t="str">
        <f t="shared" si="0"/>
        <v>3.5～3.7</v>
      </c>
      <c r="C20">
        <f>COUNTIF(基準点データまとめ!$V$2:$V$366,$A20)</f>
        <v>0</v>
      </c>
    </row>
    <row r="21" spans="1:3" x14ac:dyDescent="0.7">
      <c r="A21" s="5">
        <f>IFERROR(MROUND(3.8,0.2),-MROUND(ABS(3.8),0.2))</f>
        <v>3.8000000000000003</v>
      </c>
      <c r="B21" t="str">
        <f t="shared" si="0"/>
        <v>3.7～3.9</v>
      </c>
      <c r="C21">
        <f>COUNTIF(基準点データまとめ!$V$2:$V$366,$A21)</f>
        <v>0</v>
      </c>
    </row>
    <row r="22" spans="1:3" x14ac:dyDescent="0.7">
      <c r="A22" s="5">
        <f>IFERROR(MROUND(4,0.2),-MROUND(ABS(4),0.2))</f>
        <v>4</v>
      </c>
      <c r="B22" t="str">
        <f t="shared" si="0"/>
        <v>3.9～4.1</v>
      </c>
      <c r="C22">
        <f>COUNTIF(基準点データまとめ!$V$2:$V$366,$A22)</f>
        <v>0</v>
      </c>
    </row>
    <row r="23" spans="1:3" x14ac:dyDescent="0.7">
      <c r="A23" s="5">
        <f>IFERROR(MROUND(4.2,0.2),-MROUND(ABS(4.2),0.2))</f>
        <v>4.2</v>
      </c>
      <c r="B23" t="str">
        <f t="shared" si="0"/>
        <v>4.1～4.3</v>
      </c>
      <c r="C23">
        <f>COUNTIF(基準点データまとめ!$V$2:$V$366,$A23)</f>
        <v>0</v>
      </c>
    </row>
    <row r="24" spans="1:3" x14ac:dyDescent="0.7">
      <c r="A24" s="5">
        <f>IFERROR(MROUND(4.4,0.2),-MROUND(ABS(4.4),0.2))</f>
        <v>4.4000000000000004</v>
      </c>
      <c r="B24" t="str">
        <f t="shared" si="0"/>
        <v>4.3～4.5</v>
      </c>
      <c r="C24">
        <f>COUNTIF(基準点データまとめ!$V$2:$V$366,$A24)</f>
        <v>0</v>
      </c>
    </row>
    <row r="25" spans="1:3" x14ac:dyDescent="0.7">
      <c r="A25" s="5">
        <f>IFERROR(MROUND(4.6,0.2),-MROUND(ABS(4.6),0.2))</f>
        <v>4.6000000000000005</v>
      </c>
      <c r="B25" t="str">
        <f t="shared" si="0"/>
        <v>4.5～4.7</v>
      </c>
      <c r="C25">
        <f>COUNTIF(基準点データまとめ!$V$2:$V$366,$A25)</f>
        <v>0</v>
      </c>
    </row>
    <row r="26" spans="1:3" x14ac:dyDescent="0.7">
      <c r="A26" s="5">
        <f>IFERROR(MROUND(4.8,0.2),-MROUND(ABS(4.8),0.2))</f>
        <v>4.8000000000000007</v>
      </c>
      <c r="B26" t="str">
        <f t="shared" si="0"/>
        <v>4.7～4.9</v>
      </c>
      <c r="C26">
        <f>COUNTIF(基準点データまとめ!$V$2:$V$366,$A26)</f>
        <v>0</v>
      </c>
    </row>
    <row r="27" spans="1:3" x14ac:dyDescent="0.7">
      <c r="A27" s="5">
        <f>IFERROR(MROUND(5,0.2),-MROUND(ABS(5),0.2))</f>
        <v>5</v>
      </c>
      <c r="B27" t="str">
        <f t="shared" si="0"/>
        <v>4.9～5.1</v>
      </c>
      <c r="C27">
        <f>COUNTIF(基準点データまとめ!$V$2:$V$366,$A27)</f>
        <v>0</v>
      </c>
    </row>
    <row r="28" spans="1:3" x14ac:dyDescent="0.7">
      <c r="A28" s="5">
        <f>IFERROR(MROUND(5.2,0.2),-MROUND(ABS(5.2),0.2))</f>
        <v>5.2</v>
      </c>
      <c r="B28" t="str">
        <f t="shared" si="0"/>
        <v>5.1～5.3</v>
      </c>
      <c r="C28">
        <f>COUNTIF(基準点データまとめ!$V$2:$V$366,$A28)</f>
        <v>0</v>
      </c>
    </row>
    <row r="29" spans="1:3" x14ac:dyDescent="0.7">
      <c r="A29" s="5">
        <f>IFERROR(MROUND(5.4,0.2),-MROUND(ABS(5.4),0.2))</f>
        <v>5.4</v>
      </c>
      <c r="B29" t="str">
        <f t="shared" si="0"/>
        <v>5.3～5.5</v>
      </c>
      <c r="C29">
        <f>COUNTIF(基準点データまとめ!$V$2:$V$366,$A29)</f>
        <v>0</v>
      </c>
    </row>
    <row r="30" spans="1:3" x14ac:dyDescent="0.7">
      <c r="A30" s="5">
        <f>IFERROR(MROUND(5.6,0.2),-MROUND(ABS(5.6),0.2))</f>
        <v>5.6000000000000005</v>
      </c>
      <c r="B30" t="str">
        <f t="shared" si="0"/>
        <v>5.5～5.7</v>
      </c>
      <c r="C30">
        <f>COUNTIF(基準点データまとめ!$V$2:$V$366,$A30)</f>
        <v>0</v>
      </c>
    </row>
    <row r="31" spans="1:3" x14ac:dyDescent="0.7">
      <c r="A31" s="5">
        <f>IFERROR(MROUND(5.8,0.2),-MROUND(ABS(5.8),0.2))</f>
        <v>5.8000000000000007</v>
      </c>
      <c r="B31" t="str">
        <f t="shared" si="0"/>
        <v>5.7～5.9</v>
      </c>
      <c r="C31">
        <f>COUNTIF(基準点データまとめ!$V$2:$V$366,$A31)</f>
        <v>0</v>
      </c>
    </row>
    <row r="32" spans="1:3" x14ac:dyDescent="0.7">
      <c r="A32" s="5">
        <f>IFERROR(MROUND(6,0.2),-MROUND(ABS(6),0.2))</f>
        <v>6</v>
      </c>
      <c r="B32" t="str">
        <f t="shared" si="0"/>
        <v>5.9～6.1</v>
      </c>
      <c r="C32">
        <f>COUNTIF(基準点データまとめ!$V$2:$V$366,$A32)</f>
        <v>0</v>
      </c>
    </row>
    <row r="33" spans="1:3" x14ac:dyDescent="0.7">
      <c r="A33" s="5">
        <f>IFERROR(MROUND(6.2,0.2),-MROUND(ABS(6.2),0.2))</f>
        <v>6.2</v>
      </c>
      <c r="B33" t="str">
        <f t="shared" si="0"/>
        <v>6.1～6.3</v>
      </c>
      <c r="C33">
        <f>COUNTIF(基準点データまとめ!$V$2:$V$366,$A33)</f>
        <v>0</v>
      </c>
    </row>
    <row r="34" spans="1:3" x14ac:dyDescent="0.7">
      <c r="A34" s="5">
        <f>IFERROR(MROUND(6.4,0.2),-MROUND(ABS(6.4),0.2))</f>
        <v>6.4</v>
      </c>
      <c r="B34" t="str">
        <f t="shared" si="0"/>
        <v>6.3～6.5</v>
      </c>
      <c r="C34">
        <f>COUNTIF(基準点データまとめ!$V$2:$V$366,$A34)</f>
        <v>0</v>
      </c>
    </row>
    <row r="35" spans="1:3" x14ac:dyDescent="0.7">
      <c r="A35" s="5">
        <f>IFERROR(MROUND(6.6,0.2),-MROUND(ABS(6.6),0.2))</f>
        <v>6.6000000000000005</v>
      </c>
      <c r="B35" t="str">
        <f t="shared" si="0"/>
        <v>6.5～6.7</v>
      </c>
      <c r="C35">
        <f>COUNTIF(基準点データまとめ!$V$2:$V$366,$A35)</f>
        <v>0</v>
      </c>
    </row>
    <row r="36" spans="1:3" x14ac:dyDescent="0.7">
      <c r="A36" s="5">
        <f>IFERROR(MROUND(6.8,0.2),-MROUND(ABS(6.8),0.2))</f>
        <v>6.8000000000000007</v>
      </c>
      <c r="B36" t="str">
        <f t="shared" si="0"/>
        <v>6.7～6.9</v>
      </c>
      <c r="C36">
        <f>COUNTIF(基準点データまとめ!$V$2:$V$366,$A36)</f>
        <v>0</v>
      </c>
    </row>
    <row r="37" spans="1:3" x14ac:dyDescent="0.7">
      <c r="A37" s="5">
        <f>IFERROR(MROUND(7,0.2),-MROUND(ABS(7),0.2))</f>
        <v>7</v>
      </c>
      <c r="B37" t="str">
        <f t="shared" si="0"/>
        <v>6.9～7.1</v>
      </c>
      <c r="C37">
        <f>COUNTIF(基準点データまとめ!$V$2:$V$366,$A37)</f>
        <v>0</v>
      </c>
    </row>
    <row r="38" spans="1:3" x14ac:dyDescent="0.7">
      <c r="A38" s="5">
        <f>IFERROR(MROUND(7.2,0.2),-MROUND(ABS(7.2),0.2))</f>
        <v>7.2</v>
      </c>
      <c r="B38" t="str">
        <f t="shared" si="0"/>
        <v>7.1～7.3</v>
      </c>
      <c r="C38">
        <f>COUNTIF(基準点データまとめ!$V$2:$V$366,$A38)</f>
        <v>0</v>
      </c>
    </row>
    <row r="39" spans="1:3" x14ac:dyDescent="0.7">
      <c r="A39" s="5">
        <f>IFERROR(MROUND(7.4,0.2),-MROUND(ABS(7.4),0.2))</f>
        <v>7.4</v>
      </c>
      <c r="B39" t="str">
        <f t="shared" si="0"/>
        <v>7.3～7.5</v>
      </c>
      <c r="C39">
        <f>COUNTIF(基準点データまとめ!$V$2:$V$366,$A39)</f>
        <v>0</v>
      </c>
    </row>
    <row r="40" spans="1:3" x14ac:dyDescent="0.7">
      <c r="A40" s="5">
        <f>IFERROR(MROUND(7.6,0.2),-MROUND(ABS(7.6),0.2))</f>
        <v>7.6000000000000005</v>
      </c>
      <c r="B40" t="str">
        <f t="shared" si="0"/>
        <v>7.5～7.7</v>
      </c>
      <c r="C40">
        <f>COUNTIF(基準点データまとめ!$V$2:$V$366,$A40)</f>
        <v>0</v>
      </c>
    </row>
    <row r="41" spans="1:3" x14ac:dyDescent="0.7">
      <c r="A41" s="5">
        <f>IFERROR(MROUND(7.8,0.2),-MROUND(ABS(7.8),0.2))</f>
        <v>7.8000000000000007</v>
      </c>
      <c r="B41" t="str">
        <f t="shared" si="0"/>
        <v>7.7～7.9</v>
      </c>
      <c r="C41">
        <f>COUNTIF(基準点データまとめ!$V$2:$V$366,$A41)</f>
        <v>0</v>
      </c>
    </row>
    <row r="42" spans="1:3" x14ac:dyDescent="0.7">
      <c r="A42" s="5">
        <f>IFERROR(MROUND(8,0.2),-MROUND(ABS(8),0.2))</f>
        <v>8</v>
      </c>
      <c r="B42" t="str">
        <f t="shared" si="0"/>
        <v>7.9～8.1</v>
      </c>
      <c r="C42">
        <f>COUNTIF(基準点データまとめ!$V$2:$V$366,$A42)</f>
        <v>0</v>
      </c>
    </row>
    <row r="43" spans="1:3" x14ac:dyDescent="0.7">
      <c r="A43" s="5">
        <f>IFERROR(MROUND(8.2,0.2),-MROUND(ABS(8.2),0.2))</f>
        <v>8.2000000000000011</v>
      </c>
      <c r="B43" t="str">
        <f t="shared" si="0"/>
        <v>8.1～8.3</v>
      </c>
      <c r="C43">
        <f>COUNTIF(基準点データまとめ!$V$2:$V$366,$A43)</f>
        <v>0</v>
      </c>
    </row>
    <row r="44" spans="1:3" x14ac:dyDescent="0.7">
      <c r="A44" s="5">
        <f>IFERROR(MROUND(8.4,0.2),-MROUND(ABS(8.4),0.2))</f>
        <v>8.4</v>
      </c>
      <c r="B44" t="str">
        <f t="shared" si="0"/>
        <v>8.3～8.5</v>
      </c>
      <c r="C44">
        <f>COUNTIF(基準点データまとめ!$V$2:$V$366,$A44)</f>
        <v>0</v>
      </c>
    </row>
    <row r="45" spans="1:3" x14ac:dyDescent="0.7">
      <c r="A45" s="5">
        <f>IFERROR(MROUND(8.6,0.2),-MROUND(ABS(8.6),0.2))</f>
        <v>8.6</v>
      </c>
      <c r="B45" t="str">
        <f t="shared" si="0"/>
        <v>8.5～8.7</v>
      </c>
      <c r="C45">
        <f>COUNTIF(基準点データまとめ!$V$2:$V$366,$A45)</f>
        <v>0</v>
      </c>
    </row>
    <row r="46" spans="1:3" x14ac:dyDescent="0.7">
      <c r="A46" s="5">
        <f>IFERROR(MROUND(8.8,0.2),-MROUND(ABS(8.8),0.2))</f>
        <v>8.8000000000000007</v>
      </c>
      <c r="B46" t="str">
        <f t="shared" si="0"/>
        <v>8.7～8.9</v>
      </c>
      <c r="C46">
        <f>COUNTIF(基準点データまとめ!$V$2:$V$366,$A46)</f>
        <v>0</v>
      </c>
    </row>
    <row r="47" spans="1:3" x14ac:dyDescent="0.7">
      <c r="A47" s="5">
        <f>IFERROR(MROUND(9,0.2),-MROUND(ABS(9),0.2))</f>
        <v>9</v>
      </c>
      <c r="B47" t="str">
        <f t="shared" si="0"/>
        <v>8.9～9.1</v>
      </c>
      <c r="C47">
        <f>COUNTIF(基準点データまとめ!$V$2:$V$366,$A47)</f>
        <v>1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152FB-EEE1-4339-9CCD-2E7A76980751}">
  <sheetPr codeName="Sheet30"/>
  <dimension ref="A1:R361"/>
  <sheetViews>
    <sheetView workbookViewId="0">
      <selection activeCell="R362" sqref="R362"/>
    </sheetView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7" max="7" width="9" customWidth="1"/>
    <col min="8" max="9" width="10.5625" style="2" customWidth="1"/>
    <col min="10" max="10" width="9" style="4" customWidth="1"/>
    <col min="11" max="11" width="9" style="5" customWidth="1"/>
    <col min="12" max="12" width="9" customWidth="1"/>
    <col min="13" max="14" width="10.5625" style="2" customWidth="1"/>
    <col min="15" max="15" width="9" style="4" customWidth="1"/>
    <col min="16" max="16" width="9" style="5" customWidth="1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0.45552083333333332</v>
      </c>
      <c r="C2" s="2">
        <v>37.632953333333333</v>
      </c>
      <c r="D2" s="2">
        <v>141.01270833333334</v>
      </c>
      <c r="E2" s="4">
        <v>8.3339999999999996</v>
      </c>
      <c r="F2" s="5">
        <v>91</v>
      </c>
      <c r="G2">
        <v>-66</v>
      </c>
      <c r="H2" s="2">
        <v>37.632960000000004</v>
      </c>
      <c r="I2" s="2">
        <v>141.01333333333332</v>
      </c>
      <c r="J2" s="4">
        <v>0</v>
      </c>
      <c r="K2" s="5">
        <v>302</v>
      </c>
      <c r="L2">
        <v>-64</v>
      </c>
      <c r="M2" s="2">
        <v>37.632946666666662</v>
      </c>
      <c r="N2" s="2">
        <v>141.01269333333332</v>
      </c>
      <c r="O2" s="4">
        <v>8.3339999999999996</v>
      </c>
      <c r="P2" s="5">
        <v>91</v>
      </c>
      <c r="Q2" s="2">
        <f>6378137*ACOS(SIN(RADIANS(H2))*SIN(RADIANS(M2))+COS(RADIANS(H2))*COS(RADIANS(M2))*COS(RADIANS(I2)-RADIANS(N2)))</f>
        <v>56.440816689022711</v>
      </c>
      <c r="R2" t="s">
        <v>130</v>
      </c>
    </row>
    <row r="3" spans="1:18" x14ac:dyDescent="0.7">
      <c r="A3">
        <v>2.5</v>
      </c>
      <c r="B3" s="3">
        <v>0.45553240740740741</v>
      </c>
      <c r="C3" s="2">
        <v>37.632953333333333</v>
      </c>
      <c r="D3" s="2">
        <v>141.01273499999999</v>
      </c>
      <c r="E3" s="4">
        <v>8.5191999999999997</v>
      </c>
      <c r="F3" s="5">
        <v>90.7</v>
      </c>
      <c r="G3">
        <v>-67</v>
      </c>
      <c r="H3" s="2">
        <v>37.632966666666668</v>
      </c>
      <c r="I3" s="2">
        <v>141.01333333333332</v>
      </c>
      <c r="J3" s="4">
        <v>0</v>
      </c>
      <c r="K3" s="5">
        <v>302</v>
      </c>
      <c r="L3">
        <v>-64</v>
      </c>
      <c r="M3" s="2">
        <v>37.632946666666662</v>
      </c>
      <c r="N3" s="2">
        <v>141.01274666666669</v>
      </c>
      <c r="O3" s="4">
        <v>8.5191999999999997</v>
      </c>
      <c r="P3" s="5">
        <v>90.7</v>
      </c>
      <c r="Q3" s="2">
        <f>6378137*ACOS(SIN(RADIANS(H3))*SIN(RADIANS(M3))+COS(RADIANS(H3))*COS(RADIANS(M3))*COS(RADIANS(I3)-RADIANS(N3)))</f>
        <v>51.767432696685759</v>
      </c>
      <c r="R3" t="s">
        <v>130</v>
      </c>
    </row>
    <row r="4" spans="1:18" x14ac:dyDescent="0.7">
      <c r="A4">
        <v>2.5</v>
      </c>
      <c r="B4" s="3">
        <v>0.45554398148148145</v>
      </c>
      <c r="C4" s="2">
        <v>37.632953333333333</v>
      </c>
      <c r="D4" s="2">
        <v>141.01276999999999</v>
      </c>
      <c r="E4" s="4">
        <v>9.26</v>
      </c>
      <c r="F4" s="5">
        <v>90.7</v>
      </c>
      <c r="G4">
        <v>-64</v>
      </c>
      <c r="H4" s="2">
        <v>37.632966666666668</v>
      </c>
      <c r="I4" s="2">
        <v>141.01333333333332</v>
      </c>
      <c r="J4" s="4">
        <v>0</v>
      </c>
      <c r="K4" s="5">
        <v>302</v>
      </c>
      <c r="L4">
        <v>-63</v>
      </c>
      <c r="M4" s="2">
        <v>37.632946666666662</v>
      </c>
      <c r="N4" s="2">
        <v>141.01277333333334</v>
      </c>
      <c r="O4" s="4">
        <v>9.26</v>
      </c>
      <c r="P4" s="5">
        <v>90.7</v>
      </c>
      <c r="Q4" s="2">
        <f>6378137*ACOS(SIN(RADIANS(H4))*SIN(RADIANS(M4))+COS(RADIANS(H4))*COS(RADIANS(M4))*COS(RADIANS(I4)-RADIANS(N4)))</f>
        <v>49.418732283188795</v>
      </c>
      <c r="R4" t="s">
        <v>130</v>
      </c>
    </row>
    <row r="5" spans="1:18" x14ac:dyDescent="0.7">
      <c r="A5">
        <v>7.5</v>
      </c>
      <c r="B5" s="3">
        <v>0.45554398148148145</v>
      </c>
      <c r="C5" s="2">
        <v>37.632953333333333</v>
      </c>
      <c r="D5" s="2">
        <v>141.01276999999999</v>
      </c>
      <c r="E5" s="4">
        <v>9.26</v>
      </c>
      <c r="F5" s="5">
        <v>90.7</v>
      </c>
      <c r="G5">
        <v>-64</v>
      </c>
      <c r="H5" s="2">
        <v>37.632966666666668</v>
      </c>
      <c r="I5" s="2">
        <v>141.01333333333332</v>
      </c>
      <c r="J5" s="4">
        <v>0</v>
      </c>
      <c r="K5" s="5">
        <v>302</v>
      </c>
      <c r="L5">
        <v>-63</v>
      </c>
      <c r="M5" s="2">
        <v>37.632946666666662</v>
      </c>
      <c r="N5" s="2">
        <v>141.01277333333334</v>
      </c>
      <c r="O5" s="4">
        <v>9.26</v>
      </c>
      <c r="P5" s="5">
        <v>90.7</v>
      </c>
      <c r="Q5" s="2">
        <f>6378137*ACOS(SIN(RADIANS(H5))*SIN(RADIANS(M5))+COS(RADIANS(H5))*COS(RADIANS(M5))*COS(RADIANS(I5)-RADIANS(N5)))</f>
        <v>49.418732283188795</v>
      </c>
      <c r="R5" t="s">
        <v>130</v>
      </c>
    </row>
    <row r="6" spans="1:18" x14ac:dyDescent="0.7">
      <c r="A6">
        <v>7.5</v>
      </c>
      <c r="B6" s="3">
        <v>0.45555555555555555</v>
      </c>
      <c r="C6" s="2">
        <v>37.632955000000003</v>
      </c>
      <c r="D6" s="2">
        <v>141.01280166666666</v>
      </c>
      <c r="E6" s="4">
        <v>9.6304000000000016</v>
      </c>
      <c r="F6" s="5">
        <v>90.3</v>
      </c>
      <c r="G6">
        <v>-64</v>
      </c>
      <c r="H6" s="2">
        <v>37.632966666666668</v>
      </c>
      <c r="I6" s="2">
        <v>141.01333333333332</v>
      </c>
      <c r="J6" s="4">
        <v>0</v>
      </c>
      <c r="K6" s="5">
        <v>302</v>
      </c>
      <c r="L6">
        <v>-62</v>
      </c>
      <c r="M6" s="2">
        <v>37.632953333333333</v>
      </c>
      <c r="N6" s="2">
        <v>141.0128</v>
      </c>
      <c r="O6" s="4">
        <v>9.6303999999999998</v>
      </c>
      <c r="P6" s="5">
        <v>90.3</v>
      </c>
      <c r="Q6" s="2">
        <f>6378137*ACOS(SIN(RADIANS(H6))*SIN(RADIANS(M6))+COS(RADIANS(H6))*COS(RADIANS(M6))*COS(RADIANS(I6)-RADIANS(N6)))</f>
        <v>47.041103244580661</v>
      </c>
      <c r="R6" t="s">
        <v>130</v>
      </c>
    </row>
    <row r="7" spans="1:18" x14ac:dyDescent="0.7">
      <c r="A7">
        <v>7.5</v>
      </c>
      <c r="B7" s="3">
        <v>0.45556712962962959</v>
      </c>
      <c r="C7" s="2">
        <v>37.632956666666672</v>
      </c>
      <c r="D7" s="2">
        <v>141.012835</v>
      </c>
      <c r="E7" s="4">
        <v>8.3339999999999996</v>
      </c>
      <c r="F7" s="5">
        <v>90</v>
      </c>
      <c r="G7">
        <v>-62</v>
      </c>
      <c r="H7" s="2">
        <v>37.632973333333332</v>
      </c>
      <c r="I7" s="2">
        <v>141.01333333333332</v>
      </c>
      <c r="J7" s="4">
        <v>0</v>
      </c>
      <c r="K7" s="5">
        <v>302</v>
      </c>
      <c r="L7">
        <v>-61</v>
      </c>
      <c r="M7" s="2">
        <v>37.632953333333333</v>
      </c>
      <c r="N7" s="2">
        <v>141.01282666666665</v>
      </c>
      <c r="O7" s="4">
        <v>8.3339999999999996</v>
      </c>
      <c r="P7" s="5">
        <v>90</v>
      </c>
      <c r="Q7" s="2">
        <f>6378137*ACOS(SIN(RADIANS(H7))*SIN(RADIANS(M7))+COS(RADIANS(H7))*COS(RADIANS(M7))*COS(RADIANS(I7)-RADIANS(N7)))</f>
        <v>44.72232165369028</v>
      </c>
      <c r="R7" t="s">
        <v>130</v>
      </c>
    </row>
    <row r="8" spans="1:18" x14ac:dyDescent="0.7">
      <c r="A8">
        <v>12.5</v>
      </c>
      <c r="B8" s="3">
        <v>0.45556712962962959</v>
      </c>
      <c r="C8" s="2">
        <v>37.632956666666672</v>
      </c>
      <c r="D8" s="2">
        <v>141.012835</v>
      </c>
      <c r="E8" s="4">
        <v>8.3339999999999996</v>
      </c>
      <c r="F8" s="5">
        <v>90</v>
      </c>
      <c r="G8">
        <v>-62</v>
      </c>
      <c r="H8" s="2">
        <v>37.632973333333332</v>
      </c>
      <c r="I8" s="2">
        <v>141.01333333333332</v>
      </c>
      <c r="J8" s="4">
        <v>0</v>
      </c>
      <c r="K8" s="5">
        <v>302</v>
      </c>
      <c r="L8">
        <v>-61</v>
      </c>
      <c r="M8" s="2">
        <v>37.632953333333333</v>
      </c>
      <c r="N8" s="2">
        <v>141.01282666666665</v>
      </c>
      <c r="O8" s="4">
        <v>8.3339999999999996</v>
      </c>
      <c r="P8" s="5">
        <v>90</v>
      </c>
      <c r="Q8" s="2">
        <f>6378137*ACOS(SIN(RADIANS(H8))*SIN(RADIANS(M8))+COS(RADIANS(H8))*COS(RADIANS(M8))*COS(RADIANS(I8)-RADIANS(N8)))</f>
        <v>44.72232165369028</v>
      </c>
      <c r="R8" t="s">
        <v>130</v>
      </c>
    </row>
    <row r="9" spans="1:18" x14ac:dyDescent="0.7">
      <c r="A9">
        <v>12.5</v>
      </c>
      <c r="B9" s="3">
        <v>0.45557870370370374</v>
      </c>
      <c r="C9" s="2">
        <v>37.632956666666672</v>
      </c>
      <c r="D9" s="2">
        <v>141.01286166666665</v>
      </c>
      <c r="E9" s="4">
        <v>8.5191999999999997</v>
      </c>
      <c r="F9" s="5">
        <v>89.5</v>
      </c>
      <c r="G9">
        <v>-61</v>
      </c>
      <c r="H9" s="2">
        <v>37.632966666666668</v>
      </c>
      <c r="I9" s="2">
        <v>141.01333333333332</v>
      </c>
      <c r="J9" s="4">
        <v>0</v>
      </c>
      <c r="K9" s="5">
        <v>302</v>
      </c>
      <c r="L9">
        <v>-59</v>
      </c>
      <c r="M9" s="2">
        <v>37.632953333333333</v>
      </c>
      <c r="N9" s="2">
        <v>141.01285333333331</v>
      </c>
      <c r="O9" s="4">
        <v>8.5191999999999997</v>
      </c>
      <c r="P9" s="5">
        <v>89.5</v>
      </c>
      <c r="Q9" s="2">
        <f>6378137*ACOS(SIN(RADIANS(H9))*SIN(RADIANS(M9))+COS(RADIANS(H9))*COS(RADIANS(M9))*COS(RADIANS(I9)-RADIANS(N9)))</f>
        <v>42.34188065745262</v>
      </c>
      <c r="R9" t="s">
        <v>130</v>
      </c>
    </row>
    <row r="10" spans="1:18" x14ac:dyDescent="0.7">
      <c r="A10">
        <v>17.5</v>
      </c>
      <c r="B10" s="3">
        <v>0.45559027777777777</v>
      </c>
      <c r="C10" s="2">
        <v>37.632956666666672</v>
      </c>
      <c r="D10" s="2">
        <v>141.01290666666668</v>
      </c>
      <c r="E10" s="4">
        <v>9.26</v>
      </c>
      <c r="F10" s="5">
        <v>90.1</v>
      </c>
      <c r="G10">
        <v>-59</v>
      </c>
      <c r="H10" s="2">
        <v>37.632973333333332</v>
      </c>
      <c r="I10" s="2">
        <v>141.01333333333332</v>
      </c>
      <c r="J10" s="4">
        <v>0</v>
      </c>
      <c r="K10" s="5">
        <v>302</v>
      </c>
      <c r="L10">
        <v>-59</v>
      </c>
      <c r="M10" s="2">
        <v>37.632953333333333</v>
      </c>
      <c r="N10" s="2">
        <v>141.01290666666668</v>
      </c>
      <c r="O10" s="4">
        <v>9.26</v>
      </c>
      <c r="P10" s="5">
        <v>90.1</v>
      </c>
      <c r="Q10" s="2">
        <f>6378137*ACOS(SIN(RADIANS(H10))*SIN(RADIANS(M10))+COS(RADIANS(H10))*COS(RADIANS(M10))*COS(RADIANS(I10)-RADIANS(N10)))</f>
        <v>37.679908142531694</v>
      </c>
      <c r="R10" t="s">
        <v>130</v>
      </c>
    </row>
    <row r="11" spans="1:18" x14ac:dyDescent="0.7">
      <c r="A11">
        <v>22.5</v>
      </c>
      <c r="B11" s="3">
        <v>0.45560185185185187</v>
      </c>
      <c r="C11" s="2">
        <v>37.632955000000003</v>
      </c>
      <c r="D11" s="2">
        <v>141.012945</v>
      </c>
      <c r="E11" s="4">
        <v>9.6304000000000016</v>
      </c>
      <c r="F11" s="5">
        <v>91</v>
      </c>
      <c r="G11">
        <v>-59</v>
      </c>
      <c r="H11" s="2">
        <v>37.632966666666668</v>
      </c>
      <c r="I11" s="2">
        <v>141.01333333333332</v>
      </c>
      <c r="J11" s="4">
        <v>0</v>
      </c>
      <c r="K11" s="5">
        <v>302</v>
      </c>
      <c r="L11">
        <v>-59</v>
      </c>
      <c r="M11" s="2">
        <v>37.632953333333333</v>
      </c>
      <c r="N11" s="2">
        <v>141.01293333333334</v>
      </c>
      <c r="O11" s="4">
        <v>9.6303999999999998</v>
      </c>
      <c r="P11" s="5">
        <v>91</v>
      </c>
      <c r="Q11" s="2">
        <f>6378137*ACOS(SIN(RADIANS(H11))*SIN(RADIANS(M11))+COS(RADIANS(H11))*COS(RADIANS(M11))*COS(RADIANS(I11)-RADIANS(N11)))</f>
        <v>35.294378365214293</v>
      </c>
      <c r="R11" t="s">
        <v>130</v>
      </c>
    </row>
    <row r="12" spans="1:18" x14ac:dyDescent="0.7">
      <c r="A12">
        <v>27.5</v>
      </c>
      <c r="B12" s="3">
        <v>0.45561342592592591</v>
      </c>
      <c r="C12" s="2">
        <v>37.632953333333333</v>
      </c>
      <c r="D12" s="2">
        <v>141.01298666666668</v>
      </c>
      <c r="E12" s="4">
        <v>9.8155999999999999</v>
      </c>
      <c r="F12" s="5">
        <v>92</v>
      </c>
      <c r="G12">
        <v>-59</v>
      </c>
      <c r="H12" s="2">
        <v>37.632966666666668</v>
      </c>
      <c r="I12" s="2">
        <v>141.01333333333332</v>
      </c>
      <c r="J12" s="4">
        <v>0</v>
      </c>
      <c r="K12" s="5">
        <v>302</v>
      </c>
      <c r="L12">
        <v>-59</v>
      </c>
      <c r="M12" s="2">
        <v>37.632946666666662</v>
      </c>
      <c r="N12" s="2">
        <v>141.01298666666668</v>
      </c>
      <c r="O12" s="4">
        <v>9.8155999999999999</v>
      </c>
      <c r="P12" s="5">
        <v>92</v>
      </c>
      <c r="Q12" s="2">
        <f>6378137*ACOS(SIN(RADIANS(H12))*SIN(RADIANS(M12))+COS(RADIANS(H12))*COS(RADIANS(M12))*COS(RADIANS(I12)-RADIANS(N12)))</f>
        <v>30.642346914636899</v>
      </c>
      <c r="R12" t="s">
        <v>130</v>
      </c>
    </row>
    <row r="13" spans="1:18" x14ac:dyDescent="0.7">
      <c r="A13">
        <v>27.5</v>
      </c>
      <c r="B13" s="3">
        <v>0.455625</v>
      </c>
      <c r="C13" s="2">
        <v>37.632953333333333</v>
      </c>
      <c r="D13" s="2">
        <v>141.01302833333332</v>
      </c>
      <c r="E13" s="4">
        <v>10.5564</v>
      </c>
      <c r="F13" s="5">
        <v>92.4</v>
      </c>
      <c r="G13">
        <v>-58</v>
      </c>
      <c r="H13" s="2">
        <v>37.632960000000004</v>
      </c>
      <c r="I13" s="2">
        <v>141.01333333333332</v>
      </c>
      <c r="J13" s="4">
        <v>0</v>
      </c>
      <c r="K13" s="5">
        <v>302</v>
      </c>
      <c r="L13">
        <v>-59</v>
      </c>
      <c r="M13" s="2">
        <v>37.632946666666662</v>
      </c>
      <c r="N13" s="2">
        <v>141.01301333333333</v>
      </c>
      <c r="O13" s="4">
        <v>10.5564</v>
      </c>
      <c r="P13" s="5">
        <v>92.4</v>
      </c>
      <c r="Q13" s="2">
        <f>6378137*ACOS(SIN(RADIANS(H13))*SIN(RADIANS(M13))+COS(RADIANS(H13))*COS(RADIANS(M13))*COS(RADIANS(I13)-RADIANS(N13)))</f>
        <v>28.249600953647974</v>
      </c>
      <c r="R13" t="s">
        <v>130</v>
      </c>
    </row>
    <row r="14" spans="1:18" x14ac:dyDescent="0.7">
      <c r="A14">
        <v>32.5</v>
      </c>
      <c r="B14" s="3">
        <v>0.45563657407407404</v>
      </c>
      <c r="C14" s="2">
        <v>37.632951666666671</v>
      </c>
      <c r="D14" s="2">
        <v>141.01306666666667</v>
      </c>
      <c r="E14" s="4">
        <v>10.7416</v>
      </c>
      <c r="F14" s="5">
        <v>91.6</v>
      </c>
      <c r="G14">
        <v>-53</v>
      </c>
      <c r="H14" s="2">
        <v>37.632960000000004</v>
      </c>
      <c r="I14" s="2">
        <v>141.01333333333332</v>
      </c>
      <c r="J14" s="4">
        <v>0</v>
      </c>
      <c r="K14" s="5">
        <v>302</v>
      </c>
      <c r="L14">
        <v>-61</v>
      </c>
      <c r="M14" s="2">
        <v>37.632946666666662</v>
      </c>
      <c r="N14" s="2">
        <v>141.01306666666667</v>
      </c>
      <c r="O14" s="4">
        <v>10.7416</v>
      </c>
      <c r="P14" s="5">
        <v>91.6</v>
      </c>
      <c r="Q14" s="2">
        <f>6378137*ACOS(SIN(RADIANS(H14))*SIN(RADIANS(M14))+COS(RADIANS(H14))*COS(RADIANS(M14))*COS(RADIANS(I14)-RADIANS(N14)))</f>
        <v>23.555761257689049</v>
      </c>
      <c r="R14" t="s">
        <v>130</v>
      </c>
    </row>
    <row r="15" spans="1:18" x14ac:dyDescent="0.7">
      <c r="A15">
        <v>42.5</v>
      </c>
      <c r="B15" s="3">
        <v>0.45568287037037036</v>
      </c>
      <c r="C15" s="2">
        <v>37.632944999999999</v>
      </c>
      <c r="D15" s="2">
        <v>141.01322166666665</v>
      </c>
      <c r="E15" s="4">
        <v>11.6676</v>
      </c>
      <c r="F15" s="5">
        <v>91.2</v>
      </c>
      <c r="G15">
        <v>-52</v>
      </c>
      <c r="H15" s="2">
        <v>37.632960000000004</v>
      </c>
      <c r="I15" s="2">
        <v>141.01333333333332</v>
      </c>
      <c r="J15" s="4">
        <v>0</v>
      </c>
      <c r="K15" s="5">
        <v>302</v>
      </c>
      <c r="L15">
        <v>-44</v>
      </c>
      <c r="M15" s="2">
        <v>37.632946666666662</v>
      </c>
      <c r="N15" s="2">
        <v>141.01322666666667</v>
      </c>
      <c r="O15" s="4">
        <v>11.6676</v>
      </c>
      <c r="P15" s="5">
        <v>91.2</v>
      </c>
      <c r="Q15" s="2">
        <f>6378137*ACOS(SIN(RADIANS(H15))*SIN(RADIANS(M15))+COS(RADIANS(H15))*COS(RADIANS(M15))*COS(RADIANS(I15)-RADIANS(N15)))</f>
        <v>9.5203081250669808</v>
      </c>
      <c r="R15" t="s">
        <v>130</v>
      </c>
    </row>
    <row r="16" spans="1:18" x14ac:dyDescent="0.7">
      <c r="A16">
        <v>47.5</v>
      </c>
      <c r="B16" s="3">
        <v>0.45569444444444446</v>
      </c>
      <c r="C16" s="2">
        <v>37.632946666666662</v>
      </c>
      <c r="D16" s="2">
        <v>141.01325833333334</v>
      </c>
      <c r="E16" s="4">
        <v>11.6676</v>
      </c>
      <c r="F16" s="5">
        <v>90.9</v>
      </c>
      <c r="G16">
        <v>-44</v>
      </c>
      <c r="H16" s="2">
        <v>37.632960000000004</v>
      </c>
      <c r="I16" s="2">
        <v>141.01333333333332</v>
      </c>
      <c r="J16" s="4">
        <v>0</v>
      </c>
      <c r="K16" s="5">
        <v>302</v>
      </c>
      <c r="L16">
        <v>-37</v>
      </c>
      <c r="M16" s="2">
        <v>37.632946666666662</v>
      </c>
      <c r="N16" s="2">
        <v>141.01325333333335</v>
      </c>
      <c r="O16" s="4">
        <v>11.6676</v>
      </c>
      <c r="P16" s="5">
        <v>90.9</v>
      </c>
      <c r="Q16" s="2">
        <f>6378137*ACOS(SIN(RADIANS(H16))*SIN(RADIANS(M16))+COS(RADIANS(H16))*COS(RADIANS(M16))*COS(RADIANS(I16)-RADIANS(N16)))</f>
        <v>7.2081430162853817</v>
      </c>
      <c r="R16" t="s">
        <v>130</v>
      </c>
    </row>
    <row r="17" spans="1:18" x14ac:dyDescent="0.7">
      <c r="A17">
        <v>52.5</v>
      </c>
      <c r="B17" s="3">
        <v>0.4557060185185185</v>
      </c>
      <c r="C17" s="2">
        <v>37.632946666666662</v>
      </c>
      <c r="D17" s="2">
        <v>141.01329333333334</v>
      </c>
      <c r="E17" s="4">
        <v>11.6676</v>
      </c>
      <c r="F17" s="5">
        <v>90.8</v>
      </c>
      <c r="G17">
        <v>-36</v>
      </c>
      <c r="H17" s="2">
        <v>37.632960000000004</v>
      </c>
      <c r="I17" s="2">
        <v>141.01333333333332</v>
      </c>
      <c r="J17" s="4">
        <v>0</v>
      </c>
      <c r="K17" s="5">
        <v>302</v>
      </c>
      <c r="L17">
        <v>-46</v>
      </c>
      <c r="M17" s="2">
        <v>37.632946666666662</v>
      </c>
      <c r="N17" s="2">
        <v>141.01328000000001</v>
      </c>
      <c r="O17" s="4">
        <v>11.6676</v>
      </c>
      <c r="P17" s="5">
        <v>90.8</v>
      </c>
      <c r="Q17" s="2">
        <f>6378137*ACOS(SIN(RADIANS(H17))*SIN(RADIANS(M17))+COS(RADIANS(H17))*COS(RADIANS(M17))*COS(RADIANS(I17)-RADIANS(N17)))</f>
        <v>4.9311871343198854</v>
      </c>
      <c r="R17" t="s">
        <v>130</v>
      </c>
    </row>
    <row r="18" spans="1:18" x14ac:dyDescent="0.7">
      <c r="A18">
        <v>52.5</v>
      </c>
      <c r="B18" s="3">
        <v>0.45571759259259265</v>
      </c>
      <c r="C18" s="2">
        <v>37.632944999999999</v>
      </c>
      <c r="D18" s="2">
        <v>141.01333000000002</v>
      </c>
      <c r="E18" s="4">
        <v>11.6676</v>
      </c>
      <c r="F18" s="5">
        <v>90.8</v>
      </c>
      <c r="G18">
        <v>-50</v>
      </c>
      <c r="H18" s="2">
        <v>37.632960000000004</v>
      </c>
      <c r="I18" s="2">
        <v>141.01333333333332</v>
      </c>
      <c r="J18" s="4">
        <v>0</v>
      </c>
      <c r="K18" s="5">
        <v>302</v>
      </c>
      <c r="L18">
        <v>-67</v>
      </c>
      <c r="M18" s="2">
        <v>37.632946666666662</v>
      </c>
      <c r="N18" s="2">
        <v>141.01333333333332</v>
      </c>
      <c r="O18" s="4">
        <v>11.6676</v>
      </c>
      <c r="P18" s="5">
        <v>90.8</v>
      </c>
      <c r="Q18" s="2">
        <f>6378137*ACOS(SIN(RADIANS(H18))*SIN(RADIANS(M18))+COS(RADIANS(H18))*COS(RADIANS(M18))*COS(RADIANS(I18)-RADIANS(N18)))</f>
        <v>1.4845979931357927</v>
      </c>
      <c r="R18" t="s">
        <v>130</v>
      </c>
    </row>
    <row r="19" spans="1:18" x14ac:dyDescent="0.7">
      <c r="A19">
        <v>57.5</v>
      </c>
      <c r="B19" s="3">
        <v>0.45571759259259265</v>
      </c>
      <c r="C19" s="2">
        <v>37.632944999999999</v>
      </c>
      <c r="D19" s="2">
        <v>141.01333000000002</v>
      </c>
      <c r="E19" s="4">
        <v>11.6676</v>
      </c>
      <c r="F19" s="5">
        <v>90.8</v>
      </c>
      <c r="G19">
        <v>-50</v>
      </c>
      <c r="H19" s="2">
        <v>37.632960000000004</v>
      </c>
      <c r="I19" s="2">
        <v>141.01333333333332</v>
      </c>
      <c r="J19" s="4">
        <v>0</v>
      </c>
      <c r="K19" s="5">
        <v>302</v>
      </c>
      <c r="L19">
        <v>-67</v>
      </c>
      <c r="M19" s="2">
        <v>37.632946666666662</v>
      </c>
      <c r="N19" s="2">
        <v>141.01333333333332</v>
      </c>
      <c r="O19" s="4">
        <v>11.6676</v>
      </c>
      <c r="P19" s="5">
        <v>90.8</v>
      </c>
      <c r="Q19" s="2">
        <f>6378137*ACOS(SIN(RADIANS(H19))*SIN(RADIANS(M19))+COS(RADIANS(H19))*COS(RADIANS(M19))*COS(RADIANS(I19)-RADIANS(N19)))</f>
        <v>1.4845979931357927</v>
      </c>
      <c r="R19" t="s">
        <v>130</v>
      </c>
    </row>
    <row r="20" spans="1:18" x14ac:dyDescent="0.7">
      <c r="A20">
        <v>57.5</v>
      </c>
      <c r="B20" s="3">
        <v>0.45572916666666669</v>
      </c>
      <c r="C20" s="2">
        <v>37.632944999999999</v>
      </c>
      <c r="D20" s="2">
        <v>141.01336666666666</v>
      </c>
      <c r="E20" s="4">
        <v>11.4824</v>
      </c>
      <c r="F20" s="5">
        <v>91.1</v>
      </c>
      <c r="G20">
        <v>-62</v>
      </c>
      <c r="H20" s="2">
        <v>37.632960000000004</v>
      </c>
      <c r="I20" s="2">
        <v>141.01333333333332</v>
      </c>
      <c r="J20" s="4">
        <v>0</v>
      </c>
      <c r="K20" s="5">
        <v>302</v>
      </c>
      <c r="L20">
        <v>-67</v>
      </c>
      <c r="M20" s="2">
        <v>37.632946666666662</v>
      </c>
      <c r="N20" s="2">
        <v>141.01336000000001</v>
      </c>
      <c r="O20" s="4">
        <v>11.4824</v>
      </c>
      <c r="P20" s="5">
        <v>91.1</v>
      </c>
      <c r="Q20" s="2">
        <f>6378137*ACOS(SIN(RADIANS(H20))*SIN(RADIANS(M20))+COS(RADIANS(H20))*COS(RADIANS(M20))*COS(RADIANS(I20)-RADIANS(N20)))</f>
        <v>2.7806788811011907</v>
      </c>
      <c r="R20" t="s">
        <v>130</v>
      </c>
    </row>
    <row r="21" spans="1:18" x14ac:dyDescent="0.7">
      <c r="A21">
        <v>62.5</v>
      </c>
      <c r="B21" s="3">
        <v>0.45574074074074072</v>
      </c>
      <c r="C21" s="2">
        <v>37.632941666666667</v>
      </c>
      <c r="D21" s="2">
        <v>141.01340500000001</v>
      </c>
      <c r="E21" s="4">
        <v>11.4824</v>
      </c>
      <c r="F21" s="5">
        <v>91.3</v>
      </c>
      <c r="G21">
        <v>-72</v>
      </c>
      <c r="H21" s="2">
        <v>37.632960000000004</v>
      </c>
      <c r="I21" s="2">
        <v>141.01333333333332</v>
      </c>
      <c r="J21" s="4">
        <v>0</v>
      </c>
      <c r="K21" s="5">
        <v>302</v>
      </c>
      <c r="L21">
        <v>-91</v>
      </c>
      <c r="M21" s="2">
        <v>37.632939999999998</v>
      </c>
      <c r="N21" s="2">
        <v>141.01338666666666</v>
      </c>
      <c r="O21" s="4">
        <v>11.4824</v>
      </c>
      <c r="P21" s="5">
        <v>91.3</v>
      </c>
      <c r="Q21" s="2">
        <f>6378137*ACOS(SIN(RADIANS(H21))*SIN(RADIANS(M21))+COS(RADIANS(H21))*COS(RADIANS(M21))*COS(RADIANS(I21)-RADIANS(N21)))</f>
        <v>5.2021738381375418</v>
      </c>
      <c r="R21" t="s">
        <v>130</v>
      </c>
    </row>
    <row r="22" spans="1:18" x14ac:dyDescent="0.7">
      <c r="A22">
        <v>62.5</v>
      </c>
      <c r="B22" s="3">
        <v>0.45575231481481482</v>
      </c>
      <c r="C22" s="2">
        <v>37.632939999999998</v>
      </c>
      <c r="D22" s="2">
        <v>141.01344</v>
      </c>
      <c r="E22" s="4">
        <v>11.2972</v>
      </c>
      <c r="F22" s="5">
        <v>91.4</v>
      </c>
      <c r="G22">
        <v>-87</v>
      </c>
      <c r="H22" s="2">
        <v>37.632960000000004</v>
      </c>
      <c r="I22" s="2">
        <v>141.01333333333332</v>
      </c>
      <c r="J22" s="4">
        <v>0</v>
      </c>
      <c r="K22" s="5">
        <v>302</v>
      </c>
      <c r="L22">
        <v>-90</v>
      </c>
      <c r="M22" s="2">
        <v>37.632939999999998</v>
      </c>
      <c r="N22" s="2">
        <v>141.01344</v>
      </c>
      <c r="O22" s="4">
        <v>11.2972</v>
      </c>
      <c r="P22" s="5">
        <v>91.4</v>
      </c>
      <c r="Q22" s="2">
        <f>6378137*ACOS(SIN(RADIANS(H22))*SIN(RADIANS(M22))+COS(RADIANS(H22))*COS(RADIANS(M22))*COS(RADIANS(I22)-RADIANS(N22)))</f>
        <v>9.6634503616773682</v>
      </c>
      <c r="R22" t="s">
        <v>130</v>
      </c>
    </row>
    <row r="23" spans="1:18" x14ac:dyDescent="0.7">
      <c r="A23">
        <v>67.5</v>
      </c>
      <c r="B23" s="3">
        <v>0.45575231481481482</v>
      </c>
      <c r="C23" s="2">
        <v>37.632939999999998</v>
      </c>
      <c r="D23" s="2">
        <v>141.01344</v>
      </c>
      <c r="E23" s="4">
        <v>11.2972</v>
      </c>
      <c r="F23" s="5">
        <v>91.4</v>
      </c>
      <c r="G23">
        <v>-87</v>
      </c>
      <c r="H23" s="2">
        <v>37.632960000000004</v>
      </c>
      <c r="I23" s="2">
        <v>141.01333333333332</v>
      </c>
      <c r="J23" s="4">
        <v>0</v>
      </c>
      <c r="K23" s="5">
        <v>302</v>
      </c>
      <c r="L23">
        <v>-90</v>
      </c>
      <c r="M23" s="2">
        <v>37.632939999999998</v>
      </c>
      <c r="N23" s="2">
        <v>141.01344</v>
      </c>
      <c r="O23" s="4">
        <v>11.2972</v>
      </c>
      <c r="P23" s="5">
        <v>91.4</v>
      </c>
      <c r="Q23" s="2">
        <f>6378137*ACOS(SIN(RADIANS(H23))*SIN(RADIANS(M23))+COS(RADIANS(H23))*COS(RADIANS(M23))*COS(RADIANS(I23)-RADIANS(N23)))</f>
        <v>9.6634503616773682</v>
      </c>
      <c r="R23" t="s">
        <v>130</v>
      </c>
    </row>
    <row r="24" spans="1:18" x14ac:dyDescent="0.7">
      <c r="A24">
        <v>67.5</v>
      </c>
      <c r="B24" s="3">
        <v>0.45576388888888886</v>
      </c>
      <c r="C24" s="2">
        <v>37.63294333333333</v>
      </c>
      <c r="D24" s="2">
        <v>141.013475</v>
      </c>
      <c r="E24" s="4">
        <v>11.2972</v>
      </c>
      <c r="F24" s="5">
        <v>90.5</v>
      </c>
      <c r="G24">
        <v>-82</v>
      </c>
      <c r="H24" s="2">
        <v>37.632960000000004</v>
      </c>
      <c r="I24" s="2">
        <v>141.01333333333332</v>
      </c>
      <c r="J24" s="4">
        <v>0</v>
      </c>
      <c r="K24" s="5">
        <v>302</v>
      </c>
      <c r="L24">
        <v>-81</v>
      </c>
      <c r="M24" s="2">
        <v>37.632946666666662</v>
      </c>
      <c r="N24" s="2">
        <v>141.01346666666669</v>
      </c>
      <c r="O24" s="4">
        <v>11.2972</v>
      </c>
      <c r="P24" s="5">
        <v>90.5</v>
      </c>
      <c r="Q24" s="2">
        <f>6378137*ACOS(SIN(RADIANS(H24))*SIN(RADIANS(M24))+COS(RADIANS(H24))*COS(RADIANS(M24))*COS(RADIANS(I24)-RADIANS(N24)))</f>
        <v>11.847847716231417</v>
      </c>
      <c r="R24" t="s">
        <v>130</v>
      </c>
    </row>
    <row r="25" spans="1:18" x14ac:dyDescent="0.7">
      <c r="A25">
        <v>67.5</v>
      </c>
      <c r="B25" s="3">
        <v>0.45577546296296295</v>
      </c>
      <c r="C25" s="2">
        <v>37.63294333333333</v>
      </c>
      <c r="D25" s="2">
        <v>141.01351000000003</v>
      </c>
      <c r="E25" s="4">
        <v>11.112</v>
      </c>
      <c r="F25" s="5">
        <v>89.5</v>
      </c>
      <c r="G25">
        <v>-86</v>
      </c>
      <c r="H25" s="2">
        <v>37.632960000000004</v>
      </c>
      <c r="I25" s="2">
        <v>141.01333333333332</v>
      </c>
      <c r="J25" s="4">
        <v>0</v>
      </c>
      <c r="K25" s="5">
        <v>302</v>
      </c>
      <c r="L25">
        <v>-82</v>
      </c>
      <c r="M25" s="2">
        <v>37.632946666666662</v>
      </c>
      <c r="N25" s="2">
        <v>141.01349333333334</v>
      </c>
      <c r="O25" s="4">
        <v>11.112</v>
      </c>
      <c r="P25" s="5">
        <v>89.5</v>
      </c>
      <c r="Q25" s="2">
        <f>6378137*ACOS(SIN(RADIANS(H25))*SIN(RADIANS(M25))+COS(RADIANS(H25))*COS(RADIANS(M25))*COS(RADIANS(I25)-RADIANS(N25)))</f>
        <v>14.183194700909587</v>
      </c>
      <c r="R25" t="s">
        <v>130</v>
      </c>
    </row>
    <row r="26" spans="1:18" x14ac:dyDescent="0.7">
      <c r="A26">
        <v>72.5</v>
      </c>
      <c r="B26" s="3">
        <v>0.45577546296296295</v>
      </c>
      <c r="C26" s="2">
        <v>37.63294333333333</v>
      </c>
      <c r="D26" s="2">
        <v>141.01351000000003</v>
      </c>
      <c r="E26" s="4">
        <v>11.112</v>
      </c>
      <c r="F26" s="5">
        <v>89.5</v>
      </c>
      <c r="G26">
        <v>-86</v>
      </c>
      <c r="H26" s="2">
        <v>37.632960000000004</v>
      </c>
      <c r="I26" s="2">
        <v>141.01333333333332</v>
      </c>
      <c r="J26" s="4">
        <v>0</v>
      </c>
      <c r="K26" s="5">
        <v>302</v>
      </c>
      <c r="L26">
        <v>-82</v>
      </c>
      <c r="M26" s="2">
        <v>37.632946666666662</v>
      </c>
      <c r="N26" s="2">
        <v>141.01349333333334</v>
      </c>
      <c r="O26" s="4">
        <v>11.112</v>
      </c>
      <c r="P26" s="5">
        <v>89.5</v>
      </c>
      <c r="Q26" s="2">
        <f>6378137*ACOS(SIN(RADIANS(H26))*SIN(RADIANS(M26))+COS(RADIANS(H26))*COS(RADIANS(M26))*COS(RADIANS(I26)-RADIANS(N26)))</f>
        <v>14.183194700909587</v>
      </c>
      <c r="R26" t="s">
        <v>130</v>
      </c>
    </row>
    <row r="27" spans="1:18" x14ac:dyDescent="0.7">
      <c r="A27">
        <v>72.5</v>
      </c>
      <c r="B27" s="3">
        <v>0.45578703703703699</v>
      </c>
      <c r="C27" s="2">
        <v>37.63294333333333</v>
      </c>
      <c r="D27" s="2">
        <v>141.01354000000001</v>
      </c>
      <c r="E27" s="4">
        <v>11.112</v>
      </c>
      <c r="F27" s="5">
        <v>89</v>
      </c>
      <c r="G27">
        <v>-83</v>
      </c>
      <c r="H27" s="2">
        <v>37.632960000000004</v>
      </c>
      <c r="I27" s="2">
        <v>141.01333333333332</v>
      </c>
      <c r="J27" s="4">
        <v>0</v>
      </c>
      <c r="K27" s="5">
        <v>302</v>
      </c>
      <c r="L27">
        <v>-83</v>
      </c>
      <c r="M27" s="2">
        <v>37.632946666666662</v>
      </c>
      <c r="N27" s="2">
        <v>141.01354666666666</v>
      </c>
      <c r="O27" s="4">
        <v>11.112</v>
      </c>
      <c r="P27" s="5">
        <v>89</v>
      </c>
      <c r="Q27" s="2">
        <f>6378137*ACOS(SIN(RADIANS(H27))*SIN(RADIANS(M27))+COS(RADIANS(H27))*COS(RADIANS(M27))*COS(RADIANS(I27)-RADIANS(N27)))</f>
        <v>18.865707189440347</v>
      </c>
      <c r="R27" t="s">
        <v>130</v>
      </c>
    </row>
    <row r="28" spans="1:18" x14ac:dyDescent="0.7">
      <c r="A28">
        <v>77.5</v>
      </c>
      <c r="B28" s="3">
        <v>0.45641203703703703</v>
      </c>
      <c r="C28" s="2">
        <v>37.632913333333335</v>
      </c>
      <c r="D28" s="2">
        <v>141.013575</v>
      </c>
      <c r="E28" s="4">
        <v>22.9648</v>
      </c>
      <c r="F28" s="5">
        <v>269.3</v>
      </c>
      <c r="G28">
        <v>-56</v>
      </c>
      <c r="H28" s="2">
        <v>37.632979999999996</v>
      </c>
      <c r="I28" s="2">
        <v>141.01333333333332</v>
      </c>
      <c r="J28" s="4">
        <v>0</v>
      </c>
      <c r="K28" s="5">
        <v>302</v>
      </c>
      <c r="L28">
        <v>-60</v>
      </c>
      <c r="M28" s="2">
        <v>37.632913333333335</v>
      </c>
      <c r="N28" s="2">
        <v>141.01357333333331</v>
      </c>
      <c r="O28" s="4">
        <v>22.9648</v>
      </c>
      <c r="P28" s="5">
        <v>269.3</v>
      </c>
      <c r="Q28" s="2">
        <f>6378137*ACOS(SIN(RADIANS(H28))*SIN(RADIANS(M28))+COS(RADIANS(H28))*COS(RADIANS(M28))*COS(RADIANS(I28)-RADIANS(N28)))</f>
        <v>22.42197443006004</v>
      </c>
    </row>
    <row r="29" spans="1:18" x14ac:dyDescent="0.7">
      <c r="A29">
        <v>2.5</v>
      </c>
      <c r="B29" s="3">
        <v>0.45728009259259261</v>
      </c>
      <c r="C29" s="2">
        <v>37.632950000000001</v>
      </c>
      <c r="D29" s="2">
        <v>141.01273833333335</v>
      </c>
      <c r="E29" s="4">
        <v>11.4824</v>
      </c>
      <c r="F29" s="5">
        <v>92.1</v>
      </c>
      <c r="G29">
        <v>-66</v>
      </c>
      <c r="H29" s="2">
        <v>37.632960000000004</v>
      </c>
      <c r="I29" s="2">
        <v>141.01330666666667</v>
      </c>
      <c r="J29" s="4">
        <v>0</v>
      </c>
      <c r="K29" s="5">
        <v>302</v>
      </c>
      <c r="L29">
        <v>-64</v>
      </c>
      <c r="M29" s="2">
        <v>37.632946666666662</v>
      </c>
      <c r="N29" s="2">
        <v>141.01274666666669</v>
      </c>
      <c r="O29" s="4">
        <v>11.4824</v>
      </c>
      <c r="P29" s="5">
        <v>92.1</v>
      </c>
      <c r="Q29" s="2">
        <f>6378137*ACOS(SIN(RADIANS(H29))*SIN(RADIANS(M29))+COS(RADIANS(H29))*COS(RADIANS(M29))*COS(RADIANS(I29)-RADIANS(N29)))</f>
        <v>49.390941419752743</v>
      </c>
      <c r="R29" t="s">
        <v>132</v>
      </c>
    </row>
    <row r="30" spans="1:18" x14ac:dyDescent="0.7">
      <c r="A30">
        <v>7.5</v>
      </c>
      <c r="B30" s="3">
        <v>0.45729166666666665</v>
      </c>
      <c r="C30" s="2">
        <v>37.632948333333339</v>
      </c>
      <c r="D30" s="2">
        <v>141.01279333333332</v>
      </c>
      <c r="E30" s="4">
        <v>15.927200000000001</v>
      </c>
      <c r="F30" s="5">
        <v>91.9</v>
      </c>
      <c r="G30">
        <v>-64</v>
      </c>
      <c r="H30" s="2">
        <v>37.632966666666668</v>
      </c>
      <c r="I30" s="2">
        <v>141.01330666666667</v>
      </c>
      <c r="J30" s="4">
        <v>0</v>
      </c>
      <c r="K30" s="5">
        <v>302</v>
      </c>
      <c r="L30">
        <v>-61</v>
      </c>
      <c r="M30" s="2">
        <v>37.632946666666662</v>
      </c>
      <c r="N30" s="2">
        <v>141.01277333333334</v>
      </c>
      <c r="O30" s="4">
        <v>15.927200000000001</v>
      </c>
      <c r="P30" s="5">
        <v>91.9</v>
      </c>
      <c r="Q30" s="2">
        <f>6378137*ACOS(SIN(RADIANS(H30))*SIN(RADIANS(M30))+COS(RADIANS(H30))*COS(RADIANS(M30))*COS(RADIANS(I30)-RADIANS(N30)))</f>
        <v>47.070281500217007</v>
      </c>
      <c r="R30" t="s">
        <v>132</v>
      </c>
    </row>
    <row r="31" spans="1:18" x14ac:dyDescent="0.7">
      <c r="A31">
        <v>17.5</v>
      </c>
      <c r="B31" s="3">
        <v>0.45731481481481479</v>
      </c>
      <c r="C31" s="2">
        <v>37.632950000000001</v>
      </c>
      <c r="D31" s="2">
        <v>141.01292166666664</v>
      </c>
      <c r="E31" s="4">
        <v>21.1128</v>
      </c>
      <c r="F31" s="5">
        <v>89.8</v>
      </c>
      <c r="G31">
        <v>-58</v>
      </c>
      <c r="H31" s="2">
        <v>37.632973333333332</v>
      </c>
      <c r="I31" s="2">
        <v>141.01330666666667</v>
      </c>
      <c r="J31" s="4">
        <v>0</v>
      </c>
      <c r="K31" s="5">
        <v>302</v>
      </c>
      <c r="L31">
        <v>-59</v>
      </c>
      <c r="M31" s="2">
        <v>37.632946666666662</v>
      </c>
      <c r="N31" s="2">
        <v>141.01290666666668</v>
      </c>
      <c r="O31" s="4">
        <v>21.1128</v>
      </c>
      <c r="P31" s="5">
        <v>89.8</v>
      </c>
      <c r="Q31" s="2">
        <f>6378137*ACOS(SIN(RADIANS(H31))*SIN(RADIANS(M31))+COS(RADIANS(H31))*COS(RADIANS(M31))*COS(RADIANS(I31)-RADIANS(N31)))</f>
        <v>35.388052654569897</v>
      </c>
      <c r="R31" t="s">
        <v>132</v>
      </c>
    </row>
    <row r="32" spans="1:18" x14ac:dyDescent="0.7">
      <c r="A32">
        <v>22.5</v>
      </c>
      <c r="B32" s="3">
        <v>0.45731481481481479</v>
      </c>
      <c r="C32" s="2">
        <v>37.632950000000001</v>
      </c>
      <c r="D32" s="2">
        <v>141.01292166666664</v>
      </c>
      <c r="E32" s="4">
        <v>21.1128</v>
      </c>
      <c r="F32" s="5">
        <v>89.8</v>
      </c>
      <c r="G32">
        <v>-58</v>
      </c>
      <c r="H32" s="2">
        <v>37.632973333333332</v>
      </c>
      <c r="I32" s="2">
        <v>141.01330666666667</v>
      </c>
      <c r="J32" s="4">
        <v>0</v>
      </c>
      <c r="K32" s="5">
        <v>302</v>
      </c>
      <c r="L32">
        <v>-59</v>
      </c>
      <c r="M32" s="2">
        <v>37.632946666666662</v>
      </c>
      <c r="N32" s="2">
        <v>141.01290666666668</v>
      </c>
      <c r="O32" s="4">
        <v>21.1128</v>
      </c>
      <c r="P32" s="5">
        <v>89.8</v>
      </c>
      <c r="Q32" s="2">
        <f>6378137*ACOS(SIN(RADIANS(H32))*SIN(RADIANS(M32))+COS(RADIANS(H32))*COS(RADIANS(M32))*COS(RADIANS(I32)-RADIANS(N32)))</f>
        <v>35.388052654569897</v>
      </c>
      <c r="R32" t="s">
        <v>132</v>
      </c>
    </row>
    <row r="33" spans="1:18" x14ac:dyDescent="0.7">
      <c r="A33">
        <v>27.5</v>
      </c>
      <c r="B33" s="3">
        <v>0.45732638888888894</v>
      </c>
      <c r="C33" s="2">
        <v>37.632950000000001</v>
      </c>
      <c r="D33" s="2">
        <v>141.01298666666668</v>
      </c>
      <c r="E33" s="4">
        <v>21.1128</v>
      </c>
      <c r="F33" s="5">
        <v>89.7</v>
      </c>
      <c r="G33">
        <v>-59</v>
      </c>
      <c r="H33" s="2">
        <v>37.632973333333332</v>
      </c>
      <c r="I33" s="2">
        <v>141.01330666666667</v>
      </c>
      <c r="J33" s="4">
        <v>0</v>
      </c>
      <c r="K33" s="5">
        <v>302</v>
      </c>
      <c r="L33">
        <v>-61</v>
      </c>
      <c r="M33" s="2">
        <v>37.632946666666662</v>
      </c>
      <c r="N33" s="2">
        <v>141.01298666666668</v>
      </c>
      <c r="O33" s="4">
        <v>21.1128</v>
      </c>
      <c r="P33" s="5">
        <v>89.7</v>
      </c>
      <c r="Q33" s="2">
        <f>6378137*ACOS(SIN(RADIANS(H33))*SIN(RADIANS(M33))+COS(RADIANS(H33))*COS(RADIANS(M33))*COS(RADIANS(I33)-RADIANS(N33)))</f>
        <v>28.366389401819173</v>
      </c>
      <c r="R33" t="s">
        <v>132</v>
      </c>
    </row>
    <row r="34" spans="1:18" x14ac:dyDescent="0.7">
      <c r="A34">
        <v>27.5</v>
      </c>
      <c r="B34" s="3">
        <v>0.45733796296296297</v>
      </c>
      <c r="C34" s="2">
        <v>37.632950000000001</v>
      </c>
      <c r="D34" s="2">
        <v>141.01305333333332</v>
      </c>
      <c r="E34" s="4">
        <v>20.7424</v>
      </c>
      <c r="F34" s="5">
        <v>89.7</v>
      </c>
      <c r="G34">
        <v>-61</v>
      </c>
      <c r="H34" s="2">
        <v>37.632973333333332</v>
      </c>
      <c r="I34" s="2">
        <v>141.01330666666667</v>
      </c>
      <c r="J34" s="4">
        <v>0</v>
      </c>
      <c r="K34" s="5">
        <v>302</v>
      </c>
      <c r="L34">
        <v>-53</v>
      </c>
      <c r="M34" s="2">
        <v>37.632946666666662</v>
      </c>
      <c r="N34" s="2">
        <v>141.01303999999999</v>
      </c>
      <c r="O34" s="4">
        <v>20.7424</v>
      </c>
      <c r="P34" s="5">
        <v>89.7</v>
      </c>
      <c r="Q34" s="2">
        <f>6378137*ACOS(SIN(RADIANS(H34))*SIN(RADIANS(M34))+COS(RADIANS(H34))*COS(RADIANS(M34))*COS(RADIANS(I34)-RADIANS(N34)))</f>
        <v>23.695695433879063</v>
      </c>
      <c r="R34" t="s">
        <v>132</v>
      </c>
    </row>
    <row r="35" spans="1:18" x14ac:dyDescent="0.7">
      <c r="A35">
        <v>32.5</v>
      </c>
      <c r="B35" s="3">
        <v>0.45733796296296297</v>
      </c>
      <c r="C35" s="2">
        <v>37.632950000000001</v>
      </c>
      <c r="D35" s="2">
        <v>141.01305333333332</v>
      </c>
      <c r="E35" s="4">
        <v>20.7424</v>
      </c>
      <c r="F35" s="5">
        <v>89.7</v>
      </c>
      <c r="G35">
        <v>-61</v>
      </c>
      <c r="H35" s="2">
        <v>37.632973333333332</v>
      </c>
      <c r="I35" s="2">
        <v>141.01330666666667</v>
      </c>
      <c r="J35" s="4">
        <v>0</v>
      </c>
      <c r="K35" s="5">
        <v>302</v>
      </c>
      <c r="L35">
        <v>-53</v>
      </c>
      <c r="M35" s="2">
        <v>37.632946666666662</v>
      </c>
      <c r="N35" s="2">
        <v>141.01303999999999</v>
      </c>
      <c r="O35" s="4">
        <v>20.7424</v>
      </c>
      <c r="P35" s="5">
        <v>89.7</v>
      </c>
      <c r="Q35" s="2">
        <f>6378137*ACOS(SIN(RADIANS(H35))*SIN(RADIANS(M35))+COS(RADIANS(H35))*COS(RADIANS(M35))*COS(RADIANS(I35)-RADIANS(N35)))</f>
        <v>23.695695433879063</v>
      </c>
      <c r="R35" t="s">
        <v>132</v>
      </c>
    </row>
    <row r="36" spans="1:18" x14ac:dyDescent="0.7">
      <c r="A36">
        <v>37.5</v>
      </c>
      <c r="B36" s="3">
        <v>0.45734953703703707</v>
      </c>
      <c r="C36" s="2">
        <v>37.632951666666671</v>
      </c>
      <c r="D36" s="2">
        <v>141.01312000000001</v>
      </c>
      <c r="E36" s="4">
        <v>19.6312</v>
      </c>
      <c r="F36" s="5">
        <v>89.8</v>
      </c>
      <c r="G36">
        <v>-53</v>
      </c>
      <c r="H36" s="2">
        <v>37.632973333333332</v>
      </c>
      <c r="I36" s="2">
        <v>141.01330666666667</v>
      </c>
      <c r="J36" s="4">
        <v>0</v>
      </c>
      <c r="K36" s="5">
        <v>302</v>
      </c>
      <c r="L36">
        <v>-52</v>
      </c>
      <c r="M36" s="2">
        <v>37.632946666666662</v>
      </c>
      <c r="N36" s="2">
        <v>141.01312000000001</v>
      </c>
      <c r="O36" s="4">
        <v>19.6312</v>
      </c>
      <c r="P36" s="5">
        <v>89.8</v>
      </c>
      <c r="Q36" s="2">
        <f>6378137*ACOS(SIN(RADIANS(H36))*SIN(RADIANS(M36))+COS(RADIANS(H36))*COS(RADIANS(M36))*COS(RADIANS(I36)-RADIANS(N36)))</f>
        <v>16.721929002881904</v>
      </c>
      <c r="R36" t="s">
        <v>132</v>
      </c>
    </row>
    <row r="37" spans="1:18" x14ac:dyDescent="0.7">
      <c r="A37">
        <v>42.5</v>
      </c>
      <c r="B37" s="3">
        <v>0.45736111111111111</v>
      </c>
      <c r="C37" s="2">
        <v>37.632951666666671</v>
      </c>
      <c r="D37" s="2">
        <v>141.01318833333335</v>
      </c>
      <c r="E37" s="4">
        <v>20.557200000000002</v>
      </c>
      <c r="F37" s="5">
        <v>90.1</v>
      </c>
      <c r="G37">
        <v>-61</v>
      </c>
      <c r="H37" s="2">
        <v>37.632973333333332</v>
      </c>
      <c r="I37" s="2">
        <v>141.01330666666667</v>
      </c>
      <c r="J37" s="4">
        <v>0</v>
      </c>
      <c r="K37" s="5">
        <v>302</v>
      </c>
      <c r="L37">
        <v>-36</v>
      </c>
      <c r="M37" s="2">
        <v>37.632946666666662</v>
      </c>
      <c r="N37" s="2">
        <v>141.01317333333333</v>
      </c>
      <c r="O37" s="4">
        <v>20.557200000000002</v>
      </c>
      <c r="P37" s="5">
        <v>90.1</v>
      </c>
      <c r="Q37" s="2">
        <f>6378137*ACOS(SIN(RADIANS(H37))*SIN(RADIANS(M37))+COS(RADIANS(H37))*COS(RADIANS(M37))*COS(RADIANS(I37)-RADIANS(N37)))</f>
        <v>12.123678860226084</v>
      </c>
      <c r="R37" t="s">
        <v>132</v>
      </c>
    </row>
    <row r="38" spans="1:18" x14ac:dyDescent="0.7">
      <c r="A38">
        <v>47.5</v>
      </c>
      <c r="B38" s="3">
        <v>0.4573726851851852</v>
      </c>
      <c r="C38" s="2">
        <v>37.632948333333339</v>
      </c>
      <c r="D38" s="2">
        <v>141.01325666666668</v>
      </c>
      <c r="E38" s="4">
        <v>20.557200000000002</v>
      </c>
      <c r="F38" s="5">
        <v>90.3</v>
      </c>
      <c r="G38">
        <v>-36</v>
      </c>
      <c r="H38" s="2">
        <v>37.632973333333332</v>
      </c>
      <c r="I38" s="2">
        <v>141.01330666666667</v>
      </c>
      <c r="J38" s="4">
        <v>0</v>
      </c>
      <c r="K38" s="5">
        <v>302</v>
      </c>
      <c r="L38">
        <v>-69</v>
      </c>
      <c r="M38" s="2">
        <v>37.632946666666662</v>
      </c>
      <c r="N38" s="2">
        <v>141.01325333333335</v>
      </c>
      <c r="O38" s="4">
        <v>20.557200000000002</v>
      </c>
      <c r="P38" s="5">
        <v>90.3</v>
      </c>
      <c r="Q38" s="2">
        <f>6378137*ACOS(SIN(RADIANS(H38))*SIN(RADIANS(M38))+COS(RADIANS(H38))*COS(RADIANS(M38))*COS(RADIANS(I38)-RADIANS(N38)))</f>
        <v>5.5605455891810838</v>
      </c>
      <c r="R38" t="s">
        <v>132</v>
      </c>
    </row>
    <row r="39" spans="1:18" x14ac:dyDescent="0.7">
      <c r="A39">
        <v>52.5</v>
      </c>
      <c r="B39" s="3">
        <v>0.45738425925925924</v>
      </c>
      <c r="C39" s="2">
        <v>37.632946666666662</v>
      </c>
      <c r="D39" s="2">
        <v>141.01332333333332</v>
      </c>
      <c r="E39" s="4">
        <v>20.557200000000002</v>
      </c>
      <c r="F39" s="5">
        <v>90.6</v>
      </c>
      <c r="G39">
        <v>-66</v>
      </c>
      <c r="H39" s="2">
        <v>37.632973333333332</v>
      </c>
      <c r="I39" s="2">
        <v>141.01330666666667</v>
      </c>
      <c r="J39" s="4">
        <v>0</v>
      </c>
      <c r="K39" s="5">
        <v>302</v>
      </c>
      <c r="L39">
        <v>-82</v>
      </c>
      <c r="M39" s="2">
        <v>37.632946666666662</v>
      </c>
      <c r="N39" s="2">
        <v>141.01330666666667</v>
      </c>
      <c r="O39" s="4">
        <v>20.557200000000002</v>
      </c>
      <c r="P39" s="5">
        <v>90.6</v>
      </c>
      <c r="Q39" s="2">
        <f>6378137*ACOS(SIN(RADIANS(H39))*SIN(RADIANS(M39))+COS(RADIANS(H39))*COS(RADIANS(M39))*COS(RADIANS(I39)-RADIANS(N39)))</f>
        <v>2.969195987687816</v>
      </c>
      <c r="R39" t="s">
        <v>132</v>
      </c>
    </row>
    <row r="40" spans="1:18" x14ac:dyDescent="0.7">
      <c r="A40">
        <v>57.5</v>
      </c>
      <c r="B40" s="3">
        <v>0.45738425925925924</v>
      </c>
      <c r="C40" s="2">
        <v>37.632946666666662</v>
      </c>
      <c r="D40" s="2">
        <v>141.01332333333332</v>
      </c>
      <c r="E40" s="4">
        <v>20.557200000000002</v>
      </c>
      <c r="F40" s="5">
        <v>90.6</v>
      </c>
      <c r="G40">
        <v>-66</v>
      </c>
      <c r="H40" s="2">
        <v>37.632973333333332</v>
      </c>
      <c r="I40" s="2">
        <v>141.01330666666667</v>
      </c>
      <c r="J40" s="4">
        <v>0</v>
      </c>
      <c r="K40" s="5">
        <v>302</v>
      </c>
      <c r="L40">
        <v>-82</v>
      </c>
      <c r="M40" s="2">
        <v>37.632946666666662</v>
      </c>
      <c r="N40" s="2">
        <v>141.01330666666667</v>
      </c>
      <c r="O40" s="4">
        <v>20.557200000000002</v>
      </c>
      <c r="P40" s="5">
        <v>90.6</v>
      </c>
      <c r="Q40" s="2">
        <f>6378137*ACOS(SIN(RADIANS(H40))*SIN(RADIANS(M40))+COS(RADIANS(H40))*COS(RADIANS(M40))*COS(RADIANS(I40)-RADIANS(N40)))</f>
        <v>2.969195987687816</v>
      </c>
      <c r="R40" t="s">
        <v>132</v>
      </c>
    </row>
    <row r="41" spans="1:18" x14ac:dyDescent="0.7">
      <c r="A41">
        <v>62.5</v>
      </c>
      <c r="B41" s="3">
        <v>0.45739583333333328</v>
      </c>
      <c r="C41" s="2">
        <v>37.632946666666662</v>
      </c>
      <c r="D41" s="2">
        <v>141.01339166666668</v>
      </c>
      <c r="E41" s="4">
        <v>20.7424</v>
      </c>
      <c r="F41" s="5">
        <v>90.5</v>
      </c>
      <c r="G41">
        <v>-83</v>
      </c>
      <c r="H41" s="2">
        <v>37.632973333333332</v>
      </c>
      <c r="I41" s="2">
        <v>141.01330666666667</v>
      </c>
      <c r="J41" s="4">
        <v>0</v>
      </c>
      <c r="K41" s="5">
        <v>302</v>
      </c>
      <c r="L41">
        <v>-86</v>
      </c>
      <c r="M41" s="2">
        <v>37.632946666666662</v>
      </c>
      <c r="N41" s="2">
        <v>141.01338666666666</v>
      </c>
      <c r="O41" s="4">
        <v>20.7424</v>
      </c>
      <c r="P41" s="5">
        <v>90.5</v>
      </c>
      <c r="Q41" s="2">
        <f>6378137*ACOS(SIN(RADIANS(H41))*SIN(RADIANS(M41))+COS(RADIANS(H41))*COS(RADIANS(M41))*COS(RADIANS(I41)-RADIANS(N41)))</f>
        <v>7.6524758382776392</v>
      </c>
      <c r="R41" t="s">
        <v>132</v>
      </c>
    </row>
    <row r="42" spans="1:18" x14ac:dyDescent="0.7">
      <c r="A42">
        <v>67.5</v>
      </c>
      <c r="B42" s="3">
        <v>0.45740740740740743</v>
      </c>
      <c r="C42" s="2">
        <v>37.63294333333333</v>
      </c>
      <c r="D42" s="2">
        <v>141.01346333333333</v>
      </c>
      <c r="E42" s="4">
        <v>20.7424</v>
      </c>
      <c r="F42" s="5">
        <v>90.5</v>
      </c>
      <c r="G42">
        <v>-85</v>
      </c>
      <c r="H42" s="2">
        <v>37.632973333333332</v>
      </c>
      <c r="I42" s="2">
        <v>141.01330666666667</v>
      </c>
      <c r="J42" s="4">
        <v>0</v>
      </c>
      <c r="K42" s="5">
        <v>302</v>
      </c>
      <c r="L42">
        <v>-89</v>
      </c>
      <c r="M42" s="2">
        <v>37.632946666666662</v>
      </c>
      <c r="N42" s="2">
        <v>141.01344</v>
      </c>
      <c r="O42" s="4">
        <v>20.7424</v>
      </c>
      <c r="P42" s="5">
        <v>90.5</v>
      </c>
      <c r="Q42" s="2">
        <f>6378137*ACOS(SIN(RADIANS(H42))*SIN(RADIANS(M42))+COS(RADIANS(H42))*COS(RADIANS(M42))*COS(RADIANS(I42)-RADIANS(N42)))</f>
        <v>12.123678860226084</v>
      </c>
      <c r="R42" t="s">
        <v>132</v>
      </c>
    </row>
    <row r="43" spans="1:18" x14ac:dyDescent="0.7">
      <c r="A43">
        <v>72.5</v>
      </c>
      <c r="B43" s="3">
        <v>0.45741898148148147</v>
      </c>
      <c r="C43" s="2">
        <v>37.63294333333333</v>
      </c>
      <c r="D43" s="2">
        <v>141.01353666666668</v>
      </c>
      <c r="E43" s="4">
        <v>21.1128</v>
      </c>
      <c r="F43" s="5">
        <v>90.3</v>
      </c>
      <c r="Q43" s="2">
        <f>6378137*ACOS(SIN(RADIANS(H43))*SIN(RADIANS(M43))+COS(RADIANS(H43))*COS(RADIANS(M43))*COS(RADIANS(I43)-RADIANS(N43)))</f>
        <v>0</v>
      </c>
      <c r="R43" t="s">
        <v>132</v>
      </c>
    </row>
    <row r="44" spans="1:18" x14ac:dyDescent="0.7">
      <c r="A44">
        <v>77.5</v>
      </c>
      <c r="B44" s="3">
        <v>0.45793981481481483</v>
      </c>
      <c r="C44" s="2">
        <v>37.632906666666671</v>
      </c>
      <c r="D44" s="2">
        <v>141.01362</v>
      </c>
      <c r="E44" s="4">
        <v>24.816800000000001</v>
      </c>
      <c r="F44" s="5">
        <v>269.7</v>
      </c>
      <c r="G44">
        <v>-57</v>
      </c>
      <c r="H44" s="2">
        <v>37.632993333333339</v>
      </c>
      <c r="I44" s="2">
        <v>141.01328000000001</v>
      </c>
      <c r="J44" s="4">
        <v>0</v>
      </c>
      <c r="K44" s="5">
        <v>13.9</v>
      </c>
      <c r="L44">
        <v>-57</v>
      </c>
      <c r="M44" s="2">
        <v>37.632906666666671</v>
      </c>
      <c r="N44" s="2">
        <v>141.01362666666668</v>
      </c>
      <c r="O44" s="4">
        <v>24.816800000000001</v>
      </c>
      <c r="P44" s="5">
        <v>269.7</v>
      </c>
      <c r="Q44" s="2">
        <f>6378137*ACOS(SIN(RADIANS(H44))*SIN(RADIANS(M44))+COS(RADIANS(H44))*COS(RADIANS(M44))*COS(RADIANS(I44)-RADIANS(N44)))</f>
        <v>32.048066103116852</v>
      </c>
      <c r="R44" t="s">
        <v>132</v>
      </c>
    </row>
    <row r="45" spans="1:18" x14ac:dyDescent="0.7">
      <c r="A45">
        <v>2.5</v>
      </c>
      <c r="B45" s="3">
        <v>0.45967592592592593</v>
      </c>
      <c r="C45" s="2">
        <v>37.632944999999999</v>
      </c>
      <c r="D45" s="2">
        <v>141.01273833333335</v>
      </c>
      <c r="E45" s="4">
        <v>13.704800000000001</v>
      </c>
      <c r="F45" s="5">
        <v>93</v>
      </c>
      <c r="G45">
        <v>-67</v>
      </c>
      <c r="H45" s="2">
        <v>37.632960000000004</v>
      </c>
      <c r="I45" s="2">
        <v>141.01330666666667</v>
      </c>
      <c r="J45" s="4">
        <v>0</v>
      </c>
      <c r="K45" s="5">
        <v>13.9</v>
      </c>
      <c r="L45">
        <v>-66</v>
      </c>
      <c r="M45" s="2">
        <v>37.632946666666662</v>
      </c>
      <c r="N45" s="2">
        <v>141.01274666666669</v>
      </c>
      <c r="O45" s="4">
        <v>13.704800000000001</v>
      </c>
      <c r="P45" s="5">
        <v>93</v>
      </c>
      <c r="Q45" s="2">
        <f>6378137*ACOS(SIN(RADIANS(H45))*SIN(RADIANS(M45))+COS(RADIANS(H45))*COS(RADIANS(M45))*COS(RADIANS(I45)-RADIANS(N45)))</f>
        <v>49.390941419752743</v>
      </c>
      <c r="R45" t="s">
        <v>132</v>
      </c>
    </row>
    <row r="46" spans="1:18" x14ac:dyDescent="0.7">
      <c r="A46">
        <v>7.5</v>
      </c>
      <c r="B46" s="3">
        <v>0.45968750000000003</v>
      </c>
      <c r="C46" s="2">
        <v>37.63294333333333</v>
      </c>
      <c r="D46" s="2">
        <v>141.01278833333333</v>
      </c>
      <c r="E46" s="4">
        <v>15.371600000000003</v>
      </c>
      <c r="F46" s="5">
        <v>91.9</v>
      </c>
      <c r="G46">
        <v>-65</v>
      </c>
      <c r="H46" s="2">
        <v>37.632960000000004</v>
      </c>
      <c r="I46" s="2">
        <v>141.01330666666667</v>
      </c>
      <c r="J46" s="4">
        <v>0</v>
      </c>
      <c r="K46" s="5">
        <v>13.9</v>
      </c>
      <c r="L46">
        <v>-63</v>
      </c>
      <c r="M46" s="2">
        <v>37.632946666666662</v>
      </c>
      <c r="N46" s="2">
        <v>141.01277333333334</v>
      </c>
      <c r="O46" s="4">
        <v>15.371600000000001</v>
      </c>
      <c r="P46" s="5">
        <v>91.9</v>
      </c>
      <c r="Q46" s="2">
        <f>6378137*ACOS(SIN(RADIANS(H46))*SIN(RADIANS(M46))+COS(RADIANS(H46))*COS(RADIANS(M46))*COS(RADIANS(I46)-RADIANS(N46)))</f>
        <v>47.041103244580661</v>
      </c>
      <c r="R46" t="s">
        <v>132</v>
      </c>
    </row>
    <row r="47" spans="1:18" x14ac:dyDescent="0.7">
      <c r="A47">
        <v>7.5</v>
      </c>
      <c r="B47" s="3">
        <v>0.45969907407407407</v>
      </c>
      <c r="C47" s="2">
        <v>37.63294333333333</v>
      </c>
      <c r="D47" s="2">
        <v>141.012845</v>
      </c>
      <c r="E47" s="4">
        <v>16.667999999999999</v>
      </c>
      <c r="F47" s="5">
        <v>90.4</v>
      </c>
      <c r="G47">
        <v>-62</v>
      </c>
      <c r="H47" s="2">
        <v>37.632960000000004</v>
      </c>
      <c r="I47" s="2">
        <v>141.01330666666667</v>
      </c>
      <c r="J47" s="4">
        <v>0</v>
      </c>
      <c r="K47" s="5">
        <v>13.9</v>
      </c>
      <c r="L47">
        <v>-59</v>
      </c>
      <c r="M47" s="2">
        <v>37.632946666666662</v>
      </c>
      <c r="N47" s="2">
        <v>141.01282666666665</v>
      </c>
      <c r="O47" s="4">
        <v>16.667999999999999</v>
      </c>
      <c r="P47" s="5">
        <v>90.4</v>
      </c>
      <c r="Q47" s="2">
        <f>6378137*ACOS(SIN(RADIANS(H47))*SIN(RADIANS(M47))+COS(RADIANS(H47))*COS(RADIANS(M47))*COS(RADIANS(I47)-RADIANS(N47)))</f>
        <v>42.342093989979567</v>
      </c>
      <c r="R47" t="s">
        <v>132</v>
      </c>
    </row>
    <row r="48" spans="1:18" x14ac:dyDescent="0.7">
      <c r="A48">
        <v>27.5</v>
      </c>
      <c r="B48" s="3">
        <v>0.4597222222222222</v>
      </c>
      <c r="C48" s="2">
        <v>37.632944999999999</v>
      </c>
      <c r="D48" s="2">
        <v>141.01297333333332</v>
      </c>
      <c r="E48" s="4">
        <v>19.446000000000002</v>
      </c>
      <c r="F48" s="5">
        <v>89.3</v>
      </c>
      <c r="G48">
        <v>-57</v>
      </c>
      <c r="H48" s="2">
        <v>37.632960000000004</v>
      </c>
      <c r="I48" s="2">
        <v>141.01330666666667</v>
      </c>
      <c r="J48" s="4">
        <v>0</v>
      </c>
      <c r="K48" s="5">
        <v>13.9</v>
      </c>
      <c r="L48">
        <v>-59</v>
      </c>
      <c r="M48" s="2">
        <v>37.632946666666662</v>
      </c>
      <c r="N48" s="2">
        <v>141.01295999999999</v>
      </c>
      <c r="O48" s="4">
        <v>19.446000000000002</v>
      </c>
      <c r="P48" s="5">
        <v>89.3</v>
      </c>
      <c r="Q48" s="2">
        <f>6378137*ACOS(SIN(RADIANS(H48))*SIN(RADIANS(M48))+COS(RADIANS(H48))*COS(RADIANS(M48))*COS(RADIANS(I48)-RADIANS(N48)))</f>
        <v>30.597506734143469</v>
      </c>
      <c r="R48" t="s">
        <v>132</v>
      </c>
    </row>
    <row r="49" spans="1:18" x14ac:dyDescent="0.7">
      <c r="A49">
        <v>27.5</v>
      </c>
      <c r="B49" s="3">
        <v>0.45973379629629635</v>
      </c>
      <c r="C49" s="2">
        <v>37.63294333333333</v>
      </c>
      <c r="D49" s="2">
        <v>141.01304333333334</v>
      </c>
      <c r="E49" s="4">
        <v>21.4832</v>
      </c>
      <c r="F49" s="5">
        <v>89.9</v>
      </c>
      <c r="G49">
        <v>-59</v>
      </c>
      <c r="H49" s="2">
        <v>37.632960000000004</v>
      </c>
      <c r="I49" s="2">
        <v>141.01330666666667</v>
      </c>
      <c r="J49" s="4">
        <v>0</v>
      </c>
      <c r="K49" s="5">
        <v>13.9</v>
      </c>
      <c r="L49">
        <v>-52</v>
      </c>
      <c r="M49" s="2">
        <v>37.632946666666662</v>
      </c>
      <c r="N49" s="2">
        <v>141.01303999999999</v>
      </c>
      <c r="O49" s="4">
        <v>21.4832</v>
      </c>
      <c r="P49" s="5">
        <v>89.9</v>
      </c>
      <c r="Q49" s="2">
        <f>6378137*ACOS(SIN(RADIANS(H49))*SIN(RADIANS(M49))+COS(RADIANS(H49))*COS(RADIANS(M49))*COS(RADIANS(I49)-RADIANS(N49)))</f>
        <v>23.555761257689049</v>
      </c>
      <c r="R49" t="s">
        <v>132</v>
      </c>
    </row>
    <row r="50" spans="1:18" x14ac:dyDescent="0.7">
      <c r="A50">
        <v>32.5</v>
      </c>
      <c r="B50" s="3">
        <v>0.45973379629629635</v>
      </c>
      <c r="C50" s="2">
        <v>37.63294333333333</v>
      </c>
      <c r="D50" s="2">
        <v>141.01304333333334</v>
      </c>
      <c r="E50" s="4">
        <v>21.4832</v>
      </c>
      <c r="F50" s="5">
        <v>89.9</v>
      </c>
      <c r="G50">
        <v>-59</v>
      </c>
      <c r="H50" s="2">
        <v>37.632960000000004</v>
      </c>
      <c r="I50" s="2">
        <v>141.01330666666667</v>
      </c>
      <c r="J50" s="4">
        <v>0</v>
      </c>
      <c r="K50" s="5">
        <v>13.9</v>
      </c>
      <c r="L50">
        <v>-52</v>
      </c>
      <c r="M50" s="2">
        <v>37.632946666666662</v>
      </c>
      <c r="N50" s="2">
        <v>141.01303999999999</v>
      </c>
      <c r="O50" s="4">
        <v>21.4832</v>
      </c>
      <c r="P50" s="5">
        <v>89.9</v>
      </c>
      <c r="Q50" s="2">
        <f>6378137*ACOS(SIN(RADIANS(H50))*SIN(RADIANS(M50))+COS(RADIANS(H50))*COS(RADIANS(M50))*COS(RADIANS(I50)-RADIANS(N50)))</f>
        <v>23.555761257689049</v>
      </c>
      <c r="R50" t="s">
        <v>132</v>
      </c>
    </row>
    <row r="51" spans="1:18" x14ac:dyDescent="0.7">
      <c r="A51">
        <v>42.5</v>
      </c>
      <c r="B51" s="3">
        <v>0.45975694444444443</v>
      </c>
      <c r="C51" s="2">
        <v>37.63294333333333</v>
      </c>
      <c r="D51" s="2">
        <v>141.01318166666667</v>
      </c>
      <c r="E51" s="4">
        <v>22.224</v>
      </c>
      <c r="F51" s="5">
        <v>89.9</v>
      </c>
      <c r="G51">
        <v>-45</v>
      </c>
      <c r="H51" s="2">
        <v>37.632960000000004</v>
      </c>
      <c r="I51" s="2">
        <v>141.01330666666667</v>
      </c>
      <c r="J51" s="4">
        <v>0</v>
      </c>
      <c r="K51" s="5">
        <v>13.9</v>
      </c>
      <c r="L51">
        <v>-51</v>
      </c>
      <c r="M51" s="2">
        <v>37.632946666666662</v>
      </c>
      <c r="N51" s="2">
        <v>141.01319999999998</v>
      </c>
      <c r="O51" s="4">
        <v>22.224</v>
      </c>
      <c r="P51" s="5">
        <v>89.9</v>
      </c>
      <c r="Q51" s="2">
        <f>6378137*ACOS(SIN(RADIANS(H51))*SIN(RADIANS(M51))+COS(RADIANS(H51))*COS(RADIANS(M51))*COS(RADIANS(I51)-RADIANS(N51)))</f>
        <v>9.5203081250669808</v>
      </c>
      <c r="R51" t="s">
        <v>132</v>
      </c>
    </row>
    <row r="52" spans="1:18" x14ac:dyDescent="0.7">
      <c r="A52">
        <v>47.5</v>
      </c>
      <c r="B52" s="3">
        <v>0.45976851851851852</v>
      </c>
      <c r="C52" s="2">
        <v>37.632948333333339</v>
      </c>
      <c r="D52" s="2">
        <v>141.01324833333334</v>
      </c>
      <c r="E52" s="4">
        <v>21.4832</v>
      </c>
      <c r="F52" s="5">
        <v>88.8</v>
      </c>
      <c r="G52">
        <v>-48</v>
      </c>
      <c r="H52" s="2">
        <v>37.632960000000004</v>
      </c>
      <c r="I52" s="2">
        <v>141.01330666666667</v>
      </c>
      <c r="J52" s="4">
        <v>0</v>
      </c>
      <c r="K52" s="5">
        <v>13.9</v>
      </c>
      <c r="L52">
        <v>-58</v>
      </c>
      <c r="M52" s="2">
        <v>37.632946666666662</v>
      </c>
      <c r="N52" s="2">
        <v>141.01325333333335</v>
      </c>
      <c r="O52" s="4">
        <v>21.4832</v>
      </c>
      <c r="P52" s="5">
        <v>88.8</v>
      </c>
      <c r="Q52" s="2">
        <f>6378137*ACOS(SIN(RADIANS(H52))*SIN(RADIANS(M52))+COS(RADIANS(H52))*COS(RADIANS(M52))*COS(RADIANS(I52)-RADIANS(N52)))</f>
        <v>4.9311871343198854</v>
      </c>
      <c r="R52" t="s">
        <v>132</v>
      </c>
    </row>
    <row r="53" spans="1:18" x14ac:dyDescent="0.7">
      <c r="A53">
        <v>57.5</v>
      </c>
      <c r="B53" s="3">
        <v>0.45979166666666665</v>
      </c>
      <c r="C53" s="2">
        <v>37.632948333333339</v>
      </c>
      <c r="D53" s="2">
        <v>141.01339000000002</v>
      </c>
      <c r="E53" s="4">
        <v>21.4832</v>
      </c>
      <c r="F53" s="5">
        <v>89.6</v>
      </c>
      <c r="G53">
        <v>-81</v>
      </c>
      <c r="H53" s="2">
        <v>37.632960000000004</v>
      </c>
      <c r="I53" s="2">
        <v>141.01330666666667</v>
      </c>
      <c r="J53" s="4">
        <v>0</v>
      </c>
      <c r="K53" s="5">
        <v>13.9</v>
      </c>
      <c r="L53">
        <v>-82</v>
      </c>
      <c r="M53" s="2">
        <v>37.632946666666662</v>
      </c>
      <c r="N53" s="2">
        <v>141.01338666666666</v>
      </c>
      <c r="O53" s="4">
        <v>21.4832</v>
      </c>
      <c r="P53" s="5">
        <v>89.6</v>
      </c>
      <c r="Q53" s="2">
        <f>6378137*ACOS(SIN(RADIANS(H53))*SIN(RADIANS(M53))+COS(RADIANS(H53))*COS(RADIANS(M53))*COS(RADIANS(I53)-RADIANS(N53)))</f>
        <v>7.2081430162853817</v>
      </c>
      <c r="R53" t="s">
        <v>132</v>
      </c>
    </row>
    <row r="54" spans="1:18" x14ac:dyDescent="0.7">
      <c r="A54">
        <v>62.5</v>
      </c>
      <c r="B54" s="3">
        <v>0.45979166666666665</v>
      </c>
      <c r="C54" s="2">
        <v>37.632948333333339</v>
      </c>
      <c r="D54" s="2">
        <v>141.01339000000002</v>
      </c>
      <c r="E54" s="4">
        <v>21.4832</v>
      </c>
      <c r="F54" s="5">
        <v>89.6</v>
      </c>
      <c r="G54">
        <v>-81</v>
      </c>
      <c r="H54" s="2">
        <v>37.632960000000004</v>
      </c>
      <c r="I54" s="2">
        <v>141.01330666666667</v>
      </c>
      <c r="J54" s="4">
        <v>0</v>
      </c>
      <c r="K54" s="5">
        <v>13.9</v>
      </c>
      <c r="L54">
        <v>-82</v>
      </c>
      <c r="M54" s="2">
        <v>37.632946666666662</v>
      </c>
      <c r="N54" s="2">
        <v>141.01338666666666</v>
      </c>
      <c r="O54" s="4">
        <v>21.4832</v>
      </c>
      <c r="P54" s="5">
        <v>89.6</v>
      </c>
      <c r="Q54" s="2">
        <f>6378137*ACOS(SIN(RADIANS(H54))*SIN(RADIANS(M54))+COS(RADIANS(H54))*COS(RADIANS(M54))*COS(RADIANS(I54)-RADIANS(N54)))</f>
        <v>7.2081430162853817</v>
      </c>
      <c r="R54" t="s">
        <v>132</v>
      </c>
    </row>
    <row r="55" spans="1:18" x14ac:dyDescent="0.7">
      <c r="A55">
        <v>77.5</v>
      </c>
      <c r="B55" s="3">
        <v>0.46032407407407411</v>
      </c>
      <c r="C55" s="2">
        <v>37.632901666666662</v>
      </c>
      <c r="D55" s="2">
        <v>141.01358666666664</v>
      </c>
      <c r="E55" s="4">
        <v>25.187200000000001</v>
      </c>
      <c r="F55" s="5">
        <v>270.39999999999998</v>
      </c>
      <c r="G55">
        <v>-61</v>
      </c>
      <c r="H55" s="2">
        <v>37.632966666666668</v>
      </c>
      <c r="I55" s="2">
        <v>141.01330666666667</v>
      </c>
      <c r="J55" s="4">
        <v>0</v>
      </c>
      <c r="K55" s="5">
        <v>13.9</v>
      </c>
      <c r="L55">
        <v>-54</v>
      </c>
      <c r="M55" s="2">
        <v>37.632899999999999</v>
      </c>
      <c r="N55" s="2">
        <v>141.01357333333331</v>
      </c>
      <c r="O55" s="4">
        <v>25.187200000000001</v>
      </c>
      <c r="P55" s="5">
        <v>270.39999999999998</v>
      </c>
      <c r="Q55" s="2">
        <f>6378137*ACOS(SIN(RADIANS(H55))*SIN(RADIANS(M55))+COS(RADIANS(H55))*COS(RADIANS(M55))*COS(RADIANS(I55)-RADIANS(N55)))</f>
        <v>24.652638225765148</v>
      </c>
    </row>
    <row r="56" spans="1:18" x14ac:dyDescent="0.7">
      <c r="A56">
        <v>77.5</v>
      </c>
      <c r="B56" s="3">
        <v>0.46162037037037035</v>
      </c>
      <c r="C56" s="2">
        <v>37.632906666666671</v>
      </c>
      <c r="D56" s="2">
        <v>141.01357000000002</v>
      </c>
      <c r="E56" s="4">
        <v>23.520399999999999</v>
      </c>
      <c r="F56" s="5">
        <v>270.10000000000002</v>
      </c>
      <c r="G56">
        <v>-57</v>
      </c>
      <c r="H56" s="2">
        <v>37.633000000000003</v>
      </c>
      <c r="I56" s="2">
        <v>141.01328000000001</v>
      </c>
      <c r="J56" s="4">
        <v>0</v>
      </c>
      <c r="K56" s="5">
        <v>13.9</v>
      </c>
      <c r="L56">
        <v>-57</v>
      </c>
      <c r="M56" s="2">
        <v>37.632906666666671</v>
      </c>
      <c r="N56" s="2">
        <v>141.01357333333331</v>
      </c>
      <c r="O56" s="4">
        <v>23.520400000000002</v>
      </c>
      <c r="P56" s="5">
        <v>270.10000000000002</v>
      </c>
      <c r="Q56" s="2">
        <f>6378137*ACOS(SIN(RADIANS(H56))*SIN(RADIANS(M56))+COS(RADIANS(H56))*COS(RADIANS(M56))*COS(RADIANS(I56)-RADIANS(N56)))</f>
        <v>27.86876527080554</v>
      </c>
    </row>
    <row r="57" spans="1:18" x14ac:dyDescent="0.7">
      <c r="A57">
        <v>72.5</v>
      </c>
      <c r="B57" s="3">
        <v>0.46237268518518521</v>
      </c>
      <c r="C57" s="2">
        <v>37.632916666666667</v>
      </c>
      <c r="D57" s="2">
        <v>141.01353499999999</v>
      </c>
      <c r="E57" s="4">
        <v>32.224800000000002</v>
      </c>
      <c r="F57" s="5">
        <v>89.3</v>
      </c>
      <c r="H57" s="2">
        <v>37.633000000000003</v>
      </c>
      <c r="I57" s="2">
        <v>141.01328000000001</v>
      </c>
      <c r="J57" s="4">
        <v>0</v>
      </c>
      <c r="K57" s="5">
        <v>13.9</v>
      </c>
      <c r="L57">
        <v>-92</v>
      </c>
      <c r="M57" s="2">
        <v>37.632919999999999</v>
      </c>
      <c r="N57" s="2">
        <v>141.01354666666666</v>
      </c>
      <c r="O57" s="4">
        <v>32.224800000000002</v>
      </c>
      <c r="P57" s="5">
        <v>89.3</v>
      </c>
      <c r="Q57" s="2">
        <f>6378137*ACOS(SIN(RADIANS(H57))*SIN(RADIANS(M57))+COS(RADIANS(H57))*COS(RADIANS(M57))*COS(RADIANS(I57)-RADIANS(N57)))</f>
        <v>25.139189504422109</v>
      </c>
    </row>
    <row r="58" spans="1:18" x14ac:dyDescent="0.7">
      <c r="A58">
        <v>77.5</v>
      </c>
      <c r="B58" s="3">
        <v>0.46284722222222219</v>
      </c>
      <c r="C58" s="2">
        <v>37.63289833333333</v>
      </c>
      <c r="D58" s="2">
        <v>141.01362666666668</v>
      </c>
      <c r="E58" s="4">
        <v>15.371600000000003</v>
      </c>
      <c r="F58" s="5">
        <v>269.7</v>
      </c>
      <c r="G58">
        <v>-59</v>
      </c>
      <c r="H58" s="2">
        <v>37.633000000000003</v>
      </c>
      <c r="I58" s="2">
        <v>141.01328000000001</v>
      </c>
      <c r="J58" s="4">
        <v>0</v>
      </c>
      <c r="K58" s="5">
        <v>13.9</v>
      </c>
      <c r="L58">
        <v>-58</v>
      </c>
      <c r="M58" s="2">
        <v>37.632893333333328</v>
      </c>
      <c r="N58" s="2">
        <v>141.01362666666668</v>
      </c>
      <c r="O58" s="4">
        <v>15.371600000000001</v>
      </c>
      <c r="P58" s="5">
        <v>269.7</v>
      </c>
      <c r="Q58" s="2">
        <f>6378137*ACOS(SIN(RADIANS(H58))*SIN(RADIANS(M58))+COS(RADIANS(H58))*COS(RADIANS(M58))*COS(RADIANS(I58)-RADIANS(N58)))</f>
        <v>32.787302217094997</v>
      </c>
    </row>
    <row r="59" spans="1:18" x14ac:dyDescent="0.7">
      <c r="A59">
        <v>77.5</v>
      </c>
      <c r="B59" s="3">
        <v>0.46285879629629628</v>
      </c>
      <c r="C59" s="2">
        <v>37.632899999999999</v>
      </c>
      <c r="D59" s="2">
        <v>141.01358500000001</v>
      </c>
      <c r="E59" s="4">
        <v>15.371600000000003</v>
      </c>
      <c r="F59" s="5">
        <v>270.3</v>
      </c>
      <c r="G59">
        <v>-58</v>
      </c>
      <c r="H59" s="2">
        <v>37.633000000000003</v>
      </c>
      <c r="I59" s="2">
        <v>141.01328000000001</v>
      </c>
      <c r="J59" s="4">
        <v>0</v>
      </c>
      <c r="K59" s="5">
        <v>13.9</v>
      </c>
      <c r="L59">
        <v>-57</v>
      </c>
      <c r="M59" s="2">
        <v>37.632899999999999</v>
      </c>
      <c r="N59" s="2">
        <v>141.01357333333331</v>
      </c>
      <c r="O59" s="4">
        <v>15.371600000000001</v>
      </c>
      <c r="P59" s="5">
        <v>270.3</v>
      </c>
      <c r="Q59" s="2">
        <f>6378137*ACOS(SIN(RADIANS(H59))*SIN(RADIANS(M59))+COS(RADIANS(H59))*COS(RADIANS(M59))*COS(RADIANS(I59)-RADIANS(N59)))</f>
        <v>28.153832261297023</v>
      </c>
    </row>
    <row r="60" spans="1:18" x14ac:dyDescent="0.7">
      <c r="A60">
        <v>2.5</v>
      </c>
      <c r="B60" s="3">
        <v>0.46440972222222227</v>
      </c>
      <c r="C60" s="2">
        <v>37.632941666666667</v>
      </c>
      <c r="D60" s="2">
        <v>141.01273666666665</v>
      </c>
      <c r="E60" s="4">
        <v>11.4824</v>
      </c>
      <c r="F60" s="5">
        <v>93.4</v>
      </c>
      <c r="G60">
        <v>-66</v>
      </c>
      <c r="H60" s="2">
        <v>37.633013333333331</v>
      </c>
      <c r="I60" s="2">
        <v>141.01322666666667</v>
      </c>
      <c r="J60" s="4">
        <v>0</v>
      </c>
      <c r="K60" s="5">
        <v>13.9</v>
      </c>
      <c r="L60">
        <v>-64</v>
      </c>
      <c r="M60" s="2">
        <v>37.632939999999998</v>
      </c>
      <c r="N60" s="2">
        <v>141.01274666666669</v>
      </c>
      <c r="O60" s="4">
        <v>11.4824</v>
      </c>
      <c r="P60" s="5">
        <v>93.4</v>
      </c>
      <c r="Q60" s="2">
        <f>6378137*ACOS(SIN(RADIANS(H60))*SIN(RADIANS(M60))+COS(RADIANS(H60))*COS(RADIANS(M60))*COS(RADIANS(I60)-RADIANS(N60)))</f>
        <v>43.096121305975203</v>
      </c>
      <c r="R60" t="s">
        <v>134</v>
      </c>
    </row>
    <row r="61" spans="1:18" x14ac:dyDescent="0.7">
      <c r="A61">
        <v>2.5</v>
      </c>
      <c r="B61" s="3">
        <v>0.4644212962962963</v>
      </c>
      <c r="C61" s="2">
        <v>37.632941666666667</v>
      </c>
      <c r="D61" s="2">
        <v>141.012775</v>
      </c>
      <c r="E61" s="4">
        <v>11.852800000000002</v>
      </c>
      <c r="F61" s="5">
        <v>92.8</v>
      </c>
      <c r="G61">
        <v>-65</v>
      </c>
      <c r="H61" s="2">
        <v>37.633013333333331</v>
      </c>
      <c r="I61" s="2">
        <v>141.01322666666667</v>
      </c>
      <c r="J61" s="4">
        <v>0</v>
      </c>
      <c r="K61" s="5">
        <v>13.9</v>
      </c>
      <c r="L61">
        <v>-62</v>
      </c>
      <c r="M61" s="2">
        <v>37.632939999999998</v>
      </c>
      <c r="N61" s="2">
        <v>141.01277333333334</v>
      </c>
      <c r="O61" s="4">
        <v>11.8528</v>
      </c>
      <c r="P61" s="5">
        <v>92.8</v>
      </c>
      <c r="Q61" s="2">
        <f>6378137*ACOS(SIN(RADIANS(H61))*SIN(RADIANS(M61))+COS(RADIANS(H61))*COS(RADIANS(M61))*COS(RADIANS(I61)-RADIANS(N61)))</f>
        <v>40.790254163305733</v>
      </c>
      <c r="R61" t="s">
        <v>134</v>
      </c>
    </row>
    <row r="62" spans="1:18" x14ac:dyDescent="0.7">
      <c r="A62">
        <v>27.5</v>
      </c>
      <c r="B62" s="3">
        <v>0.46447916666666672</v>
      </c>
      <c r="C62" s="2">
        <v>37.632938333333328</v>
      </c>
      <c r="D62" s="2">
        <v>141.01298</v>
      </c>
      <c r="E62" s="4">
        <v>12.4084</v>
      </c>
      <c r="F62" s="5">
        <v>91.6</v>
      </c>
      <c r="G62">
        <v>-57</v>
      </c>
      <c r="H62" s="2">
        <v>37.63306</v>
      </c>
      <c r="I62" s="2">
        <v>141.01317333333333</v>
      </c>
      <c r="J62" s="4">
        <v>0</v>
      </c>
      <c r="K62" s="5">
        <v>13.9</v>
      </c>
      <c r="L62">
        <v>-57</v>
      </c>
      <c r="M62" s="2">
        <v>37.632939999999998</v>
      </c>
      <c r="N62" s="2">
        <v>141.01295999999999</v>
      </c>
      <c r="O62" s="4">
        <v>12.4084</v>
      </c>
      <c r="P62" s="5">
        <v>91.6</v>
      </c>
      <c r="Q62" s="2">
        <f>6378137*ACOS(SIN(RADIANS(H62))*SIN(RADIANS(M62))+COS(RADIANS(H62))*COS(RADIANS(M62))*COS(RADIANS(I62)-RADIANS(N62)))</f>
        <v>23.068313221619672</v>
      </c>
      <c r="R62" t="s">
        <v>134</v>
      </c>
    </row>
    <row r="63" spans="1:18" x14ac:dyDescent="0.7">
      <c r="A63">
        <v>27.5</v>
      </c>
      <c r="B63" s="3">
        <v>0.46449074074074076</v>
      </c>
      <c r="C63" s="2">
        <v>37.632936666666666</v>
      </c>
      <c r="D63" s="2">
        <v>141.01302333333334</v>
      </c>
      <c r="E63" s="4">
        <v>12.4084</v>
      </c>
      <c r="F63" s="5">
        <v>91.6</v>
      </c>
      <c r="G63">
        <v>-56</v>
      </c>
      <c r="H63" s="2">
        <v>37.63306</v>
      </c>
      <c r="I63" s="2">
        <v>141.01317333333333</v>
      </c>
      <c r="J63" s="4">
        <v>0</v>
      </c>
      <c r="K63" s="5">
        <v>13.9</v>
      </c>
      <c r="L63">
        <v>-58</v>
      </c>
      <c r="M63" s="2">
        <v>37.632933333333334</v>
      </c>
      <c r="N63" s="2">
        <v>141.01301333333333</v>
      </c>
      <c r="O63" s="4">
        <v>12.4084</v>
      </c>
      <c r="P63" s="5">
        <v>91.6</v>
      </c>
      <c r="Q63" s="2">
        <f>6378137*ACOS(SIN(RADIANS(H63))*SIN(RADIANS(M63))+COS(RADIANS(H63))*COS(RADIANS(M63))*COS(RADIANS(I63)-RADIANS(N63)))</f>
        <v>19.944711093998766</v>
      </c>
      <c r="R63" t="s">
        <v>134</v>
      </c>
    </row>
    <row r="64" spans="1:18" x14ac:dyDescent="0.7">
      <c r="A64">
        <v>32.5</v>
      </c>
      <c r="B64" s="3">
        <v>0.4645023148148148</v>
      </c>
      <c r="C64" s="2">
        <v>37.632936666666666</v>
      </c>
      <c r="D64" s="2">
        <v>141.01306500000001</v>
      </c>
      <c r="E64" s="4">
        <v>12.4084</v>
      </c>
      <c r="F64" s="5">
        <v>91.5</v>
      </c>
      <c r="G64">
        <v>-57</v>
      </c>
      <c r="H64" s="2">
        <v>37.633053333333336</v>
      </c>
      <c r="I64" s="2">
        <v>141.01317333333333</v>
      </c>
      <c r="J64" s="4">
        <v>0</v>
      </c>
      <c r="K64" s="5">
        <v>13.9</v>
      </c>
      <c r="L64">
        <v>-57</v>
      </c>
      <c r="M64" s="2">
        <v>37.632933333333334</v>
      </c>
      <c r="N64" s="2">
        <v>141.01306666666667</v>
      </c>
      <c r="O64" s="4">
        <v>12.4084</v>
      </c>
      <c r="P64" s="5">
        <v>91.5</v>
      </c>
      <c r="Q64" s="2">
        <f>6378137*ACOS(SIN(RADIANS(H64))*SIN(RADIANS(M64))+COS(RADIANS(H64))*COS(RADIANS(M64))*COS(RADIANS(I64)-RADIANS(N64)))</f>
        <v>16.336384754472224</v>
      </c>
      <c r="R64" t="s">
        <v>134</v>
      </c>
    </row>
    <row r="65" spans="1:18" x14ac:dyDescent="0.7">
      <c r="A65">
        <v>42.5</v>
      </c>
      <c r="B65" s="3">
        <v>0.46456018518518521</v>
      </c>
      <c r="C65" s="2">
        <v>37.63294333333333</v>
      </c>
      <c r="D65" s="2">
        <v>141.01324333333332</v>
      </c>
      <c r="E65" s="4">
        <v>12.038</v>
      </c>
      <c r="F65" s="5">
        <v>88.7</v>
      </c>
      <c r="G65">
        <v>-38</v>
      </c>
      <c r="H65" s="2">
        <v>37.63306</v>
      </c>
      <c r="I65" s="2">
        <v>141.01317333333333</v>
      </c>
      <c r="J65" s="4">
        <v>0</v>
      </c>
      <c r="K65" s="5">
        <v>13.9</v>
      </c>
      <c r="L65">
        <v>-46</v>
      </c>
      <c r="M65" s="2">
        <v>37.632946666666662</v>
      </c>
      <c r="N65" s="2">
        <v>141.01322666666667</v>
      </c>
      <c r="O65" s="4">
        <v>12.038</v>
      </c>
      <c r="P65" s="5">
        <v>88.7</v>
      </c>
      <c r="Q65" s="2">
        <f>6378137*ACOS(SIN(RADIANS(H65))*SIN(RADIANS(M65))+COS(RADIANS(H65))*COS(RADIANS(M65))*COS(RADIANS(I65)-RADIANS(N65)))</f>
        <v>13.463748868795282</v>
      </c>
      <c r="R65" t="s">
        <v>134</v>
      </c>
    </row>
    <row r="66" spans="1:18" x14ac:dyDescent="0.7">
      <c r="A66">
        <v>47.5</v>
      </c>
      <c r="B66" s="3">
        <v>0.46456018518518521</v>
      </c>
      <c r="C66" s="2">
        <v>37.63294333333333</v>
      </c>
      <c r="D66" s="2">
        <v>141.01324333333332</v>
      </c>
      <c r="E66" s="4">
        <v>12.038</v>
      </c>
      <c r="F66" s="5">
        <v>88.7</v>
      </c>
      <c r="G66">
        <v>-38</v>
      </c>
      <c r="H66" s="2">
        <v>37.63306</v>
      </c>
      <c r="I66" s="2">
        <v>141.01317333333333</v>
      </c>
      <c r="J66" s="4">
        <v>0</v>
      </c>
      <c r="K66" s="5">
        <v>13.9</v>
      </c>
      <c r="L66">
        <v>-46</v>
      </c>
      <c r="M66" s="2">
        <v>37.632946666666662</v>
      </c>
      <c r="N66" s="2">
        <v>141.01322666666667</v>
      </c>
      <c r="O66" s="4">
        <v>12.038</v>
      </c>
      <c r="P66" s="5">
        <v>88.7</v>
      </c>
      <c r="Q66" s="2">
        <f>6378137*ACOS(SIN(RADIANS(H66))*SIN(RADIANS(M66))+COS(RADIANS(H66))*COS(RADIANS(M66))*COS(RADIANS(I66)-RADIANS(N66)))</f>
        <v>13.463748868795282</v>
      </c>
      <c r="R66" t="s">
        <v>134</v>
      </c>
    </row>
    <row r="67" spans="1:18" x14ac:dyDescent="0.7">
      <c r="A67">
        <v>47.5</v>
      </c>
      <c r="B67" s="3">
        <v>0.46457175925925925</v>
      </c>
      <c r="C67" s="2">
        <v>37.63294333333333</v>
      </c>
      <c r="D67" s="2">
        <v>141.01327833333335</v>
      </c>
      <c r="E67" s="4">
        <v>12.038</v>
      </c>
      <c r="F67" s="5">
        <v>89.1</v>
      </c>
      <c r="G67">
        <v>-52</v>
      </c>
      <c r="H67" s="2">
        <v>37.633053333333336</v>
      </c>
      <c r="I67" s="2">
        <v>141.01317333333333</v>
      </c>
      <c r="J67" s="4">
        <v>0</v>
      </c>
      <c r="K67" s="5">
        <v>13.9</v>
      </c>
      <c r="L67">
        <v>-78</v>
      </c>
      <c r="M67" s="2">
        <v>37.632946666666662</v>
      </c>
      <c r="N67" s="2">
        <v>141.01328000000001</v>
      </c>
      <c r="O67" s="4">
        <v>12.038</v>
      </c>
      <c r="P67" s="5">
        <v>89.1</v>
      </c>
      <c r="Q67" s="2">
        <f>6378137*ACOS(SIN(RADIANS(H67))*SIN(RADIANS(M67))+COS(RADIANS(H67))*COS(RADIANS(M67))*COS(RADIANS(I67)-RADIANS(N67)))</f>
        <v>15.146549748742261</v>
      </c>
      <c r="R67" t="s">
        <v>134</v>
      </c>
    </row>
    <row r="68" spans="1:18" x14ac:dyDescent="0.7">
      <c r="A68">
        <v>52.5</v>
      </c>
      <c r="B68" s="3">
        <v>0.46457175925925925</v>
      </c>
      <c r="C68" s="2">
        <v>37.63294333333333</v>
      </c>
      <c r="D68" s="2">
        <v>141.01327833333335</v>
      </c>
      <c r="E68" s="4">
        <v>12.038</v>
      </c>
      <c r="F68" s="5">
        <v>89.1</v>
      </c>
      <c r="G68">
        <v>-52</v>
      </c>
      <c r="H68" s="2">
        <v>37.633053333333336</v>
      </c>
      <c r="I68" s="2">
        <v>141.01317333333333</v>
      </c>
      <c r="J68" s="4">
        <v>0</v>
      </c>
      <c r="K68" s="5">
        <v>13.9</v>
      </c>
      <c r="L68">
        <v>-78</v>
      </c>
      <c r="M68" s="2">
        <v>37.632946666666662</v>
      </c>
      <c r="N68" s="2">
        <v>141.01328000000001</v>
      </c>
      <c r="O68" s="4">
        <v>12.038</v>
      </c>
      <c r="P68" s="5">
        <v>89.1</v>
      </c>
      <c r="Q68" s="2">
        <f>6378137*ACOS(SIN(RADIANS(H68))*SIN(RADIANS(M68))+COS(RADIANS(H68))*COS(RADIANS(M68))*COS(RADIANS(I68)-RADIANS(N68)))</f>
        <v>15.146549748742261</v>
      </c>
      <c r="R68" t="s">
        <v>134</v>
      </c>
    </row>
    <row r="69" spans="1:18" x14ac:dyDescent="0.7">
      <c r="A69">
        <v>52.5</v>
      </c>
      <c r="B69" s="3">
        <v>0.46458333333333335</v>
      </c>
      <c r="C69" s="2">
        <v>37.63294333333333</v>
      </c>
      <c r="D69" s="2">
        <v>141.01331833333333</v>
      </c>
      <c r="E69" s="4">
        <v>12.038</v>
      </c>
      <c r="F69" s="5">
        <v>90.5</v>
      </c>
      <c r="G69">
        <v>-71</v>
      </c>
      <c r="H69" s="2">
        <v>37.633053333333336</v>
      </c>
      <c r="I69" s="2">
        <v>141.01317333333333</v>
      </c>
      <c r="J69" s="4">
        <v>0</v>
      </c>
      <c r="K69" s="5">
        <v>13.9</v>
      </c>
      <c r="L69">
        <v>-63</v>
      </c>
      <c r="M69" s="2">
        <v>37.632946666666662</v>
      </c>
      <c r="N69" s="2">
        <v>141.01330666666667</v>
      </c>
      <c r="O69" s="4">
        <v>12.038</v>
      </c>
      <c r="P69" s="5">
        <v>90.5</v>
      </c>
      <c r="Q69" s="2">
        <f>6378137*ACOS(SIN(RADIANS(H69))*SIN(RADIANS(M69))+COS(RADIANS(H69))*COS(RADIANS(M69))*COS(RADIANS(I69)-RADIANS(N69)))</f>
        <v>16.708418951670502</v>
      </c>
      <c r="R69" t="s">
        <v>134</v>
      </c>
    </row>
    <row r="70" spans="1:18" x14ac:dyDescent="0.7">
      <c r="A70">
        <v>57.5</v>
      </c>
      <c r="B70" s="3">
        <v>0.46459490740740739</v>
      </c>
      <c r="C70" s="2">
        <v>37.632941666666667</v>
      </c>
      <c r="D70" s="2">
        <v>141.01335499999999</v>
      </c>
      <c r="E70" s="4">
        <v>12.038</v>
      </c>
      <c r="F70" s="5">
        <v>91.4</v>
      </c>
      <c r="G70">
        <v>-63</v>
      </c>
      <c r="H70" s="2">
        <v>37.633053333333336</v>
      </c>
      <c r="I70" s="2">
        <v>141.01317333333333</v>
      </c>
      <c r="J70" s="4">
        <v>0</v>
      </c>
      <c r="K70" s="5">
        <v>13.9</v>
      </c>
      <c r="L70">
        <v>-79</v>
      </c>
      <c r="M70" s="2">
        <v>37.632939999999998</v>
      </c>
      <c r="N70" s="2">
        <v>141.01336000000001</v>
      </c>
      <c r="O70" s="4">
        <v>12.038</v>
      </c>
      <c r="P70" s="5">
        <v>91.4</v>
      </c>
      <c r="Q70" s="2">
        <f>6378137*ACOS(SIN(RADIANS(H70))*SIN(RADIANS(M70))+COS(RADIANS(H70))*COS(RADIANS(M70))*COS(RADIANS(I70)-RADIANS(N70)))</f>
        <v>20.735639440763819</v>
      </c>
      <c r="R70" t="s">
        <v>134</v>
      </c>
    </row>
    <row r="71" spans="1:18" x14ac:dyDescent="0.7">
      <c r="A71">
        <v>57.5</v>
      </c>
      <c r="B71" s="3">
        <v>0.46460648148148148</v>
      </c>
      <c r="C71" s="2">
        <v>37.632939999999998</v>
      </c>
      <c r="D71" s="2">
        <v>141.01338333333334</v>
      </c>
      <c r="E71" s="4">
        <v>12.038</v>
      </c>
      <c r="F71" s="5">
        <v>91.2</v>
      </c>
      <c r="G71">
        <v>-74</v>
      </c>
      <c r="H71" s="2">
        <v>37.633046666666672</v>
      </c>
      <c r="I71" s="2">
        <v>141.01317333333333</v>
      </c>
      <c r="J71" s="4">
        <v>0</v>
      </c>
      <c r="K71" s="5">
        <v>13.9</v>
      </c>
      <c r="L71">
        <v>-79</v>
      </c>
      <c r="M71" s="2">
        <v>37.632939999999998</v>
      </c>
      <c r="N71" s="2">
        <v>141.01338666666666</v>
      </c>
      <c r="O71" s="4">
        <v>12.038</v>
      </c>
      <c r="P71" s="5">
        <v>91.2</v>
      </c>
      <c r="Q71" s="2">
        <f>6378137*ACOS(SIN(RADIANS(H71))*SIN(RADIANS(M71))+COS(RADIANS(H71))*COS(RADIANS(M71))*COS(RADIANS(I71)-RADIANS(N71)))</f>
        <v>22.241979300368875</v>
      </c>
      <c r="R71" t="s">
        <v>134</v>
      </c>
    </row>
    <row r="72" spans="1:18" x14ac:dyDescent="0.7">
      <c r="A72">
        <v>62.5</v>
      </c>
      <c r="B72" s="3">
        <v>0.46460648148148148</v>
      </c>
      <c r="C72" s="2">
        <v>37.632939999999998</v>
      </c>
      <c r="D72" s="2">
        <v>141.01338333333334</v>
      </c>
      <c r="E72" s="4">
        <v>12.038</v>
      </c>
      <c r="F72" s="5">
        <v>91.2</v>
      </c>
      <c r="G72">
        <v>-74</v>
      </c>
      <c r="H72" s="2">
        <v>37.633046666666672</v>
      </c>
      <c r="I72" s="2">
        <v>141.01317333333333</v>
      </c>
      <c r="J72" s="4">
        <v>0</v>
      </c>
      <c r="K72" s="5">
        <v>13.9</v>
      </c>
      <c r="L72">
        <v>-79</v>
      </c>
      <c r="M72" s="2">
        <v>37.632939999999998</v>
      </c>
      <c r="N72" s="2">
        <v>141.01338666666666</v>
      </c>
      <c r="O72" s="4">
        <v>12.038</v>
      </c>
      <c r="P72" s="5">
        <v>91.2</v>
      </c>
      <c r="Q72" s="2">
        <f>6378137*ACOS(SIN(RADIANS(H72))*SIN(RADIANS(M72))+COS(RADIANS(H72))*COS(RADIANS(M72))*COS(RADIANS(I72)-RADIANS(N72)))</f>
        <v>22.241979300368875</v>
      </c>
      <c r="R72" t="s">
        <v>134</v>
      </c>
    </row>
    <row r="73" spans="1:18" x14ac:dyDescent="0.7">
      <c r="A73">
        <v>72.5</v>
      </c>
      <c r="B73" s="3">
        <v>0.4646527777777778</v>
      </c>
      <c r="C73" s="2">
        <v>37.632934999999996</v>
      </c>
      <c r="D73" s="2">
        <v>141.01355000000001</v>
      </c>
      <c r="E73" s="4">
        <v>11.852800000000002</v>
      </c>
      <c r="F73" s="5">
        <v>90</v>
      </c>
      <c r="G73">
        <v>-80</v>
      </c>
      <c r="H73" s="2">
        <v>37.633040000000001</v>
      </c>
      <c r="I73" s="2">
        <v>141.01319999999998</v>
      </c>
      <c r="J73" s="4">
        <v>0</v>
      </c>
      <c r="K73" s="5">
        <v>139</v>
      </c>
      <c r="L73">
        <v>-82</v>
      </c>
      <c r="M73" s="2">
        <v>37.632933333333334</v>
      </c>
      <c r="N73" s="2">
        <v>141.01354666666666</v>
      </c>
      <c r="O73" s="4">
        <v>11.8528</v>
      </c>
      <c r="P73" s="5">
        <v>90</v>
      </c>
      <c r="Q73" s="2">
        <f>6378137*ACOS(SIN(RADIANS(H73))*SIN(RADIANS(M73))+COS(RADIANS(H73))*COS(RADIANS(M73))*COS(RADIANS(I73)-RADIANS(N73)))</f>
        <v>32.787302217094997</v>
      </c>
      <c r="R73" t="s">
        <v>134</v>
      </c>
    </row>
    <row r="74" spans="1:18" x14ac:dyDescent="0.7">
      <c r="A74">
        <v>77.5</v>
      </c>
      <c r="B74" s="3">
        <v>0.46466435185185184</v>
      </c>
      <c r="C74" s="2">
        <v>37.632933333333334</v>
      </c>
      <c r="D74" s="2">
        <v>141.01358833333333</v>
      </c>
      <c r="E74" s="4">
        <v>11.852800000000002</v>
      </c>
      <c r="F74" s="5">
        <v>90</v>
      </c>
      <c r="G74">
        <v>-83</v>
      </c>
      <c r="H74" s="2">
        <v>37.633040000000001</v>
      </c>
      <c r="I74" s="2">
        <v>141.01319999999998</v>
      </c>
      <c r="J74" s="4">
        <v>0</v>
      </c>
      <c r="K74" s="5">
        <v>139</v>
      </c>
      <c r="L74">
        <v>-82</v>
      </c>
      <c r="M74" s="2">
        <v>37.632933333333334</v>
      </c>
      <c r="N74" s="2">
        <v>141.01357333333331</v>
      </c>
      <c r="O74" s="4">
        <v>11.8528</v>
      </c>
      <c r="P74" s="5">
        <v>90</v>
      </c>
      <c r="Q74" s="2">
        <f>6378137*ACOS(SIN(RADIANS(H74))*SIN(RADIANS(M74))+COS(RADIANS(H74))*COS(RADIANS(M74))*COS(RADIANS(I74)-RADIANS(N74)))</f>
        <v>34.989011685930379</v>
      </c>
      <c r="R74" t="s">
        <v>134</v>
      </c>
    </row>
    <row r="75" spans="1:18" x14ac:dyDescent="0.7">
      <c r="A75">
        <v>77.5</v>
      </c>
      <c r="B75" s="3">
        <v>0.4651851851851852</v>
      </c>
      <c r="C75" s="2">
        <v>37.632916666666667</v>
      </c>
      <c r="D75" s="2">
        <v>141.01362333333333</v>
      </c>
      <c r="E75" s="4">
        <v>26.298400000000001</v>
      </c>
      <c r="F75" s="5">
        <v>269.8</v>
      </c>
      <c r="G75">
        <v>-57</v>
      </c>
      <c r="H75" s="2">
        <v>37.63308</v>
      </c>
      <c r="I75" s="2">
        <v>141.01317333333333</v>
      </c>
      <c r="J75" s="4">
        <v>0</v>
      </c>
      <c r="K75" s="5">
        <v>13.9</v>
      </c>
      <c r="L75">
        <v>-56</v>
      </c>
      <c r="M75" s="2">
        <v>37.632919999999999</v>
      </c>
      <c r="N75" s="2">
        <v>141.01362666666668</v>
      </c>
      <c r="O75" s="4">
        <v>26.298400000000001</v>
      </c>
      <c r="P75" s="5">
        <v>269.8</v>
      </c>
      <c r="Q75" s="2">
        <f>6378137*ACOS(SIN(RADIANS(H75))*SIN(RADIANS(M75))+COS(RADIANS(H75))*COS(RADIANS(M75))*COS(RADIANS(I75)-RADIANS(N75)))</f>
        <v>43.75447430866398</v>
      </c>
    </row>
    <row r="76" spans="1:18" x14ac:dyDescent="0.7">
      <c r="A76">
        <v>72.5</v>
      </c>
      <c r="B76" s="3">
        <v>0.46519675925925924</v>
      </c>
      <c r="C76" s="2">
        <v>37.632916666666667</v>
      </c>
      <c r="D76" s="2">
        <v>141.01353666666668</v>
      </c>
      <c r="E76" s="4">
        <v>26.668800000000001</v>
      </c>
      <c r="F76" s="5">
        <v>269.89999999999998</v>
      </c>
      <c r="G76">
        <v>-56</v>
      </c>
      <c r="H76" s="2">
        <v>37.63308</v>
      </c>
      <c r="I76" s="2">
        <v>141.01317333333333</v>
      </c>
      <c r="J76" s="4">
        <v>0</v>
      </c>
      <c r="K76" s="5">
        <v>13.9</v>
      </c>
      <c r="L76">
        <v>-60</v>
      </c>
      <c r="M76" s="2">
        <v>37.632919999999999</v>
      </c>
      <c r="N76" s="2">
        <v>141.01354666666666</v>
      </c>
      <c r="O76" s="4">
        <v>26.668800000000001</v>
      </c>
      <c r="P76" s="5">
        <v>269.89999999999998</v>
      </c>
      <c r="Q76" s="2">
        <f>6378137*ACOS(SIN(RADIANS(H76))*SIN(RADIANS(M76))+COS(RADIANS(H76))*COS(RADIANS(M76))*COS(RADIANS(I76)-RADIANS(N76)))</f>
        <v>37.422761868272197</v>
      </c>
    </row>
    <row r="77" spans="1:18" x14ac:dyDescent="0.7">
      <c r="A77">
        <v>2.5</v>
      </c>
      <c r="B77" s="3">
        <v>0.46590277777777778</v>
      </c>
      <c r="C77" s="2">
        <v>37.63294333333333</v>
      </c>
      <c r="D77" s="2">
        <v>141.01270833333334</v>
      </c>
      <c r="E77" s="4">
        <v>9.4451999999999998</v>
      </c>
      <c r="F77" s="5">
        <v>89.2</v>
      </c>
      <c r="G77">
        <v>-69</v>
      </c>
      <c r="H77" s="2">
        <v>37.632986666666667</v>
      </c>
      <c r="I77" s="2">
        <v>141.01328000000001</v>
      </c>
      <c r="J77" s="4">
        <v>0</v>
      </c>
      <c r="K77" s="5">
        <v>13.9</v>
      </c>
      <c r="L77">
        <v>-67</v>
      </c>
      <c r="M77" s="2">
        <v>37.632946666666662</v>
      </c>
      <c r="N77" s="2">
        <v>141.01269333333332</v>
      </c>
      <c r="O77" s="4">
        <v>9.4451999999999998</v>
      </c>
      <c r="P77" s="5">
        <v>89.2</v>
      </c>
      <c r="Q77" s="2">
        <f>6378137*ACOS(SIN(RADIANS(H77))*SIN(RADIANS(M77))+COS(RADIANS(H77))*COS(RADIANS(M77))*COS(RADIANS(I77)-RADIANS(N77)))</f>
        <v>51.910839578701435</v>
      </c>
      <c r="R77" t="s">
        <v>136</v>
      </c>
    </row>
    <row r="78" spans="1:18" x14ac:dyDescent="0.7">
      <c r="A78">
        <v>2.5</v>
      </c>
      <c r="B78" s="3">
        <v>0.46591435185185182</v>
      </c>
      <c r="C78" s="2">
        <v>37.63294333333333</v>
      </c>
      <c r="D78" s="2">
        <v>141.01273666666665</v>
      </c>
      <c r="E78" s="4">
        <v>9.4451999999999998</v>
      </c>
      <c r="F78" s="5">
        <v>90.1</v>
      </c>
      <c r="G78">
        <v>-66</v>
      </c>
      <c r="H78" s="2">
        <v>37.632986666666667</v>
      </c>
      <c r="I78" s="2">
        <v>141.01328000000001</v>
      </c>
      <c r="J78" s="4">
        <v>0</v>
      </c>
      <c r="K78" s="5">
        <v>13.9</v>
      </c>
      <c r="L78">
        <v>-67</v>
      </c>
      <c r="M78" s="2">
        <v>37.632946666666662</v>
      </c>
      <c r="N78" s="2">
        <v>141.01274666666669</v>
      </c>
      <c r="O78" s="4">
        <v>9.4451999999999998</v>
      </c>
      <c r="P78" s="5">
        <v>90.1</v>
      </c>
      <c r="Q78" s="2">
        <f>6378137*ACOS(SIN(RADIANS(H78))*SIN(RADIANS(M78))+COS(RADIANS(H78))*COS(RADIANS(M78))*COS(RADIANS(I78)-RADIANS(N78)))</f>
        <v>47.228144617315266</v>
      </c>
      <c r="R78" t="s">
        <v>136</v>
      </c>
    </row>
    <row r="79" spans="1:18" x14ac:dyDescent="0.7">
      <c r="A79">
        <v>2.5</v>
      </c>
      <c r="B79" s="3">
        <v>0.46592592592592591</v>
      </c>
      <c r="C79" s="2">
        <v>37.63294333333333</v>
      </c>
      <c r="D79" s="2">
        <v>141.01276833333336</v>
      </c>
      <c r="E79" s="4">
        <v>9.6304000000000016</v>
      </c>
      <c r="F79" s="5">
        <v>90.5</v>
      </c>
      <c r="G79">
        <v>-66</v>
      </c>
      <c r="H79" s="2">
        <v>37.632986666666667</v>
      </c>
      <c r="I79" s="2">
        <v>141.01328000000001</v>
      </c>
      <c r="J79" s="4">
        <v>0</v>
      </c>
      <c r="K79" s="5">
        <v>13.9</v>
      </c>
      <c r="L79">
        <v>-64</v>
      </c>
      <c r="M79" s="2">
        <v>37.632946666666662</v>
      </c>
      <c r="N79" s="2">
        <v>141.01277333333334</v>
      </c>
      <c r="O79" s="4">
        <v>9.6303999999999998</v>
      </c>
      <c r="P79" s="5">
        <v>90.5</v>
      </c>
      <c r="Q79" s="2">
        <f>6378137*ACOS(SIN(RADIANS(H79))*SIN(RADIANS(M79))+COS(RADIANS(H79))*COS(RADIANS(M79))*COS(RADIANS(I79)-RADIANS(N79)))</f>
        <v>44.888241576727893</v>
      </c>
      <c r="R79" t="s">
        <v>136</v>
      </c>
    </row>
    <row r="80" spans="1:18" x14ac:dyDescent="0.7">
      <c r="A80">
        <v>7.5</v>
      </c>
      <c r="B80" s="3">
        <v>0.46592592592592591</v>
      </c>
      <c r="C80" s="2">
        <v>37.63294333333333</v>
      </c>
      <c r="D80" s="2">
        <v>141.01276833333336</v>
      </c>
      <c r="E80" s="4">
        <v>9.6304000000000016</v>
      </c>
      <c r="F80" s="5">
        <v>90.5</v>
      </c>
      <c r="G80">
        <v>-66</v>
      </c>
      <c r="H80" s="2">
        <v>37.632986666666667</v>
      </c>
      <c r="I80" s="2">
        <v>141.01328000000001</v>
      </c>
      <c r="J80" s="4">
        <v>0</v>
      </c>
      <c r="K80" s="5">
        <v>13.9</v>
      </c>
      <c r="L80">
        <v>-64</v>
      </c>
      <c r="M80" s="2">
        <v>37.632946666666662</v>
      </c>
      <c r="N80" s="2">
        <v>141.01277333333334</v>
      </c>
      <c r="O80" s="4">
        <v>9.6303999999999998</v>
      </c>
      <c r="P80" s="5">
        <v>90.5</v>
      </c>
      <c r="Q80" s="2">
        <f>6378137*ACOS(SIN(RADIANS(H80))*SIN(RADIANS(M80))+COS(RADIANS(H80))*COS(RADIANS(M80))*COS(RADIANS(I80)-RADIANS(N80)))</f>
        <v>44.888241576727893</v>
      </c>
      <c r="R80" t="s">
        <v>136</v>
      </c>
    </row>
    <row r="81" spans="1:18" x14ac:dyDescent="0.7">
      <c r="A81">
        <v>7.5</v>
      </c>
      <c r="B81" s="3">
        <v>0.46593749999999995</v>
      </c>
      <c r="C81" s="2">
        <v>37.63294333333333</v>
      </c>
      <c r="D81" s="2">
        <v>141.01280166666666</v>
      </c>
      <c r="E81" s="4">
        <v>9.26</v>
      </c>
      <c r="F81" s="5">
        <v>90.7</v>
      </c>
      <c r="G81">
        <v>-64</v>
      </c>
      <c r="H81" s="2">
        <v>37.632986666666667</v>
      </c>
      <c r="I81" s="2">
        <v>141.01328000000001</v>
      </c>
      <c r="J81" s="4">
        <v>0</v>
      </c>
      <c r="K81" s="5">
        <v>13.9</v>
      </c>
      <c r="L81">
        <v>-63</v>
      </c>
      <c r="M81" s="2">
        <v>37.632946666666662</v>
      </c>
      <c r="N81" s="2">
        <v>141.0128</v>
      </c>
      <c r="O81" s="4">
        <v>9.26</v>
      </c>
      <c r="P81" s="5">
        <v>90.7</v>
      </c>
      <c r="Q81" s="2">
        <f>6378137*ACOS(SIN(RADIANS(H81))*SIN(RADIANS(M81))+COS(RADIANS(H81))*COS(RADIANS(M81))*COS(RADIANS(I81)-RADIANS(N81)))</f>
        <v>42.549584102728758</v>
      </c>
      <c r="R81" t="s">
        <v>136</v>
      </c>
    </row>
    <row r="82" spans="1:18" x14ac:dyDescent="0.7">
      <c r="A82">
        <v>57.5</v>
      </c>
      <c r="B82" s="3">
        <v>0.46609953703703705</v>
      </c>
      <c r="C82" s="2">
        <v>37.632934999999996</v>
      </c>
      <c r="D82" s="2">
        <v>141.01332499999998</v>
      </c>
      <c r="E82" s="4">
        <v>10.7416</v>
      </c>
      <c r="F82" s="5">
        <v>90.2</v>
      </c>
      <c r="G82">
        <v>-57</v>
      </c>
      <c r="H82" s="2">
        <v>37.632973333333332</v>
      </c>
      <c r="I82" s="2">
        <v>141.01330666666667</v>
      </c>
      <c r="J82" s="4">
        <v>0</v>
      </c>
      <c r="K82" s="5">
        <v>13.9</v>
      </c>
      <c r="L82">
        <v>-64</v>
      </c>
      <c r="M82" s="2">
        <v>37.632933333333334</v>
      </c>
      <c r="N82" s="2">
        <v>141.01330666666667</v>
      </c>
      <c r="O82" s="4">
        <v>10.7416</v>
      </c>
      <c r="P82" s="5">
        <v>90.2</v>
      </c>
      <c r="Q82" s="2">
        <f>6378137*ACOS(SIN(RADIANS(H82))*SIN(RADIANS(M82))+COS(RADIANS(H82))*COS(RADIANS(M82))*COS(RADIANS(I82)-RADIANS(N82)))</f>
        <v>4.4527797966252631</v>
      </c>
      <c r="R82" t="s">
        <v>136</v>
      </c>
    </row>
    <row r="83" spans="1:18" x14ac:dyDescent="0.7">
      <c r="A83">
        <v>57.5</v>
      </c>
      <c r="B83" s="3">
        <v>0.46611111111111114</v>
      </c>
      <c r="C83" s="2">
        <v>37.632933333333334</v>
      </c>
      <c r="D83" s="2">
        <v>141.01335833333331</v>
      </c>
      <c r="E83" s="4">
        <v>10.7416</v>
      </c>
      <c r="F83" s="5">
        <v>91.2</v>
      </c>
      <c r="G83">
        <v>-63</v>
      </c>
      <c r="H83" s="2">
        <v>37.632973333333332</v>
      </c>
      <c r="I83" s="2">
        <v>141.01328000000001</v>
      </c>
      <c r="J83" s="4">
        <v>0</v>
      </c>
      <c r="K83" s="5">
        <v>13.9</v>
      </c>
      <c r="L83">
        <v>-61</v>
      </c>
      <c r="M83" s="2">
        <v>37.632933333333334</v>
      </c>
      <c r="N83" s="2">
        <v>141.01336000000001</v>
      </c>
      <c r="O83" s="4">
        <v>10.7416</v>
      </c>
      <c r="P83" s="5">
        <v>91.2</v>
      </c>
      <c r="Q83" s="2">
        <f>6378137*ACOS(SIN(RADIANS(H83))*SIN(RADIANS(M83))+COS(RADIANS(H83))*COS(RADIANS(M83))*COS(RADIANS(I83)-RADIANS(N83)))</f>
        <v>8.340953754911304</v>
      </c>
      <c r="R83" t="s">
        <v>136</v>
      </c>
    </row>
    <row r="84" spans="1:18" x14ac:dyDescent="0.7">
      <c r="A84">
        <v>57.5</v>
      </c>
      <c r="B84" s="3">
        <v>0.46612268518518518</v>
      </c>
      <c r="C84" s="2">
        <v>37.632934999999996</v>
      </c>
      <c r="D84" s="2">
        <v>141.01339000000002</v>
      </c>
      <c r="E84" s="4">
        <v>10.5564</v>
      </c>
      <c r="F84" s="5">
        <v>91.5</v>
      </c>
      <c r="G84">
        <v>-63</v>
      </c>
      <c r="H84" s="2">
        <v>37.632973333333332</v>
      </c>
      <c r="I84" s="2">
        <v>141.01328000000001</v>
      </c>
      <c r="J84" s="4">
        <v>0</v>
      </c>
      <c r="K84" s="5">
        <v>13.9</v>
      </c>
      <c r="L84">
        <v>-85</v>
      </c>
      <c r="M84" s="2">
        <v>37.632933333333334</v>
      </c>
      <c r="N84" s="2">
        <v>141.01338666666666</v>
      </c>
      <c r="O84" s="4">
        <v>10.5564</v>
      </c>
      <c r="P84" s="5">
        <v>91.5</v>
      </c>
      <c r="Q84" s="2">
        <f>6378137*ACOS(SIN(RADIANS(H84))*SIN(RADIANS(M84))+COS(RADIANS(H84))*COS(RADIANS(M84))*COS(RADIANS(I84)-RADIANS(N84)))</f>
        <v>10.404347677691314</v>
      </c>
      <c r="R84" t="s">
        <v>136</v>
      </c>
    </row>
    <row r="85" spans="1:18" x14ac:dyDescent="0.7">
      <c r="A85">
        <v>62.5</v>
      </c>
      <c r="B85" s="3">
        <v>0.46612268518518518</v>
      </c>
      <c r="C85" s="2">
        <v>37.632934999999996</v>
      </c>
      <c r="D85" s="2">
        <v>141.01339000000002</v>
      </c>
      <c r="E85" s="4">
        <v>10.5564</v>
      </c>
      <c r="F85" s="5">
        <v>91.5</v>
      </c>
      <c r="G85">
        <v>-63</v>
      </c>
      <c r="H85" s="2">
        <v>37.632973333333332</v>
      </c>
      <c r="I85" s="2">
        <v>141.01328000000001</v>
      </c>
      <c r="J85" s="4">
        <v>0</v>
      </c>
      <c r="K85" s="5">
        <v>13.9</v>
      </c>
      <c r="L85">
        <v>-85</v>
      </c>
      <c r="M85" s="2">
        <v>37.632933333333334</v>
      </c>
      <c r="N85" s="2">
        <v>141.01338666666666</v>
      </c>
      <c r="O85" s="4">
        <v>10.5564</v>
      </c>
      <c r="P85" s="5">
        <v>91.5</v>
      </c>
      <c r="Q85" s="2">
        <f>6378137*ACOS(SIN(RADIANS(H85))*SIN(RADIANS(M85))+COS(RADIANS(H85))*COS(RADIANS(M85))*COS(RADIANS(I85)-RADIANS(N85)))</f>
        <v>10.404347677691314</v>
      </c>
      <c r="R85" t="s">
        <v>136</v>
      </c>
    </row>
    <row r="86" spans="1:18" x14ac:dyDescent="0.7">
      <c r="A86">
        <v>62.5</v>
      </c>
      <c r="B86" s="3">
        <v>0.46613425925925928</v>
      </c>
      <c r="C86" s="2">
        <v>37.632938333333328</v>
      </c>
      <c r="D86" s="2">
        <v>141.01342166666666</v>
      </c>
      <c r="E86" s="4">
        <v>10.5564</v>
      </c>
      <c r="F86" s="5">
        <v>90.5</v>
      </c>
      <c r="G86">
        <v>-80</v>
      </c>
      <c r="H86" s="2">
        <v>37.632973333333332</v>
      </c>
      <c r="I86" s="2">
        <v>141.01328000000001</v>
      </c>
      <c r="J86" s="4">
        <v>0</v>
      </c>
      <c r="K86" s="5">
        <v>13.9</v>
      </c>
      <c r="L86">
        <v>-79</v>
      </c>
      <c r="M86" s="2">
        <v>37.632939999999998</v>
      </c>
      <c r="N86" s="2">
        <v>141.01341333333332</v>
      </c>
      <c r="O86" s="4">
        <v>10.5564</v>
      </c>
      <c r="P86" s="5">
        <v>90.5</v>
      </c>
      <c r="Q86" s="2">
        <f>6378137*ACOS(SIN(RADIANS(H86))*SIN(RADIANS(M86))+COS(RADIANS(H86))*COS(RADIANS(M86))*COS(RADIANS(I86)-RADIANS(N86)))</f>
        <v>12.326135907835784</v>
      </c>
      <c r="R86" t="s">
        <v>136</v>
      </c>
    </row>
    <row r="87" spans="1:18" x14ac:dyDescent="0.7">
      <c r="A87">
        <v>67.5</v>
      </c>
      <c r="B87" s="3">
        <v>0.46614583333333331</v>
      </c>
      <c r="C87" s="2">
        <v>37.632936666666666</v>
      </c>
      <c r="D87" s="2">
        <v>141.01345499999999</v>
      </c>
      <c r="E87" s="4">
        <v>10.5564</v>
      </c>
      <c r="F87" s="5">
        <v>91.1</v>
      </c>
      <c r="G87">
        <v>-77</v>
      </c>
      <c r="H87" s="2">
        <v>37.632973333333332</v>
      </c>
      <c r="I87" s="2">
        <v>141.01328000000001</v>
      </c>
      <c r="J87" s="4">
        <v>0</v>
      </c>
      <c r="K87" s="5">
        <v>13.9</v>
      </c>
      <c r="L87">
        <v>-77</v>
      </c>
      <c r="M87" s="2">
        <v>37.632933333333334</v>
      </c>
      <c r="N87" s="2">
        <v>141.01344</v>
      </c>
      <c r="O87" s="4">
        <v>10.5564</v>
      </c>
      <c r="P87" s="5">
        <v>91.1</v>
      </c>
      <c r="Q87" s="2">
        <f>6378137*ACOS(SIN(RADIANS(H87))*SIN(RADIANS(M87))+COS(RADIANS(H87))*COS(RADIANS(M87))*COS(RADIANS(I87)-RADIANS(N87)))</f>
        <v>14.791424157563041</v>
      </c>
      <c r="R87" t="s">
        <v>136</v>
      </c>
    </row>
    <row r="88" spans="1:18" x14ac:dyDescent="0.7">
      <c r="A88">
        <v>67.5</v>
      </c>
      <c r="B88" s="3">
        <v>0.46615740740740735</v>
      </c>
      <c r="C88" s="2">
        <v>37.632934999999996</v>
      </c>
      <c r="D88" s="2">
        <v>141.01348999999999</v>
      </c>
      <c r="E88" s="4">
        <v>10.5564</v>
      </c>
      <c r="F88" s="5">
        <v>91.2</v>
      </c>
      <c r="G88">
        <v>-76</v>
      </c>
      <c r="H88" s="2">
        <v>37.632973333333332</v>
      </c>
      <c r="I88" s="2">
        <v>141.01328000000001</v>
      </c>
      <c r="J88" s="4">
        <v>0</v>
      </c>
      <c r="K88" s="5">
        <v>13.9</v>
      </c>
      <c r="L88">
        <v>-83</v>
      </c>
      <c r="M88" s="2">
        <v>37.632933333333334</v>
      </c>
      <c r="N88" s="2">
        <v>141.01349333333334</v>
      </c>
      <c r="O88" s="4">
        <v>10.5564</v>
      </c>
      <c r="P88" s="5">
        <v>91.2</v>
      </c>
      <c r="Q88" s="2">
        <f>6378137*ACOS(SIN(RADIANS(H88))*SIN(RADIANS(M88))+COS(RADIANS(H88))*COS(RADIANS(M88))*COS(RADIANS(I88)-RADIANS(N88)))</f>
        <v>19.327134408536093</v>
      </c>
      <c r="R88" t="s">
        <v>136</v>
      </c>
    </row>
    <row r="89" spans="1:18" x14ac:dyDescent="0.7">
      <c r="A89">
        <v>72.5</v>
      </c>
      <c r="B89" s="3">
        <v>0.4661689814814815</v>
      </c>
      <c r="C89" s="2">
        <v>37.632933333333334</v>
      </c>
      <c r="D89" s="2">
        <v>141.01352666666668</v>
      </c>
      <c r="E89" s="4">
        <v>10.5564</v>
      </c>
      <c r="F89" s="5">
        <v>91.9</v>
      </c>
      <c r="G89">
        <v>-82</v>
      </c>
      <c r="H89" s="2">
        <v>37.632973333333332</v>
      </c>
      <c r="I89" s="2">
        <v>141.01328000000001</v>
      </c>
      <c r="J89" s="4">
        <v>0</v>
      </c>
      <c r="K89" s="5">
        <v>13.9</v>
      </c>
      <c r="L89">
        <v>-85</v>
      </c>
      <c r="M89" s="2">
        <v>37.632933333333334</v>
      </c>
      <c r="N89" s="2">
        <v>141.01352</v>
      </c>
      <c r="O89" s="4">
        <v>10.5564</v>
      </c>
      <c r="P89" s="5">
        <v>91.9</v>
      </c>
      <c r="Q89" s="2">
        <f>6378137*ACOS(SIN(RADIANS(H89))*SIN(RADIANS(M89))+COS(RADIANS(H89))*COS(RADIANS(M89))*COS(RADIANS(I89)-RADIANS(N89)))</f>
        <v>21.621504826602358</v>
      </c>
      <c r="R89" t="s">
        <v>136</v>
      </c>
    </row>
    <row r="90" spans="1:18" x14ac:dyDescent="0.7">
      <c r="A90">
        <v>72.5</v>
      </c>
      <c r="B90" s="3">
        <v>0.46618055555555554</v>
      </c>
      <c r="C90" s="2">
        <v>37.632931666666664</v>
      </c>
      <c r="D90" s="2">
        <v>141.01356166666667</v>
      </c>
      <c r="E90" s="4">
        <v>10.7416</v>
      </c>
      <c r="F90" s="5">
        <v>90.8</v>
      </c>
      <c r="G90">
        <v>-86</v>
      </c>
      <c r="H90" s="2">
        <v>37.632973333333332</v>
      </c>
      <c r="I90" s="2">
        <v>141.01328000000001</v>
      </c>
      <c r="J90" s="4">
        <v>0</v>
      </c>
      <c r="K90" s="5">
        <v>13.9</v>
      </c>
      <c r="L90">
        <v>-85</v>
      </c>
      <c r="M90" s="2">
        <v>37.632933333333334</v>
      </c>
      <c r="N90" s="2">
        <v>141.01354666666666</v>
      </c>
      <c r="O90" s="4">
        <v>10.7416</v>
      </c>
      <c r="P90" s="5">
        <v>90.8</v>
      </c>
      <c r="Q90" s="2">
        <f>6378137*ACOS(SIN(RADIANS(H90))*SIN(RADIANS(M90))+COS(RADIANS(H90))*COS(RADIANS(M90))*COS(RADIANS(I90)-RADIANS(N90)))</f>
        <v>23.926911735296674</v>
      </c>
      <c r="R90" t="s">
        <v>136</v>
      </c>
    </row>
    <row r="91" spans="1:18" x14ac:dyDescent="0.7">
      <c r="A91">
        <v>77.5</v>
      </c>
      <c r="B91" s="3">
        <v>0.46618055555555554</v>
      </c>
      <c r="C91" s="2">
        <v>37.632931666666664</v>
      </c>
      <c r="D91" s="2">
        <v>141.01356166666667</v>
      </c>
      <c r="E91" s="4">
        <v>10.7416</v>
      </c>
      <c r="F91" s="5">
        <v>90.8</v>
      </c>
      <c r="G91">
        <v>-86</v>
      </c>
      <c r="H91" s="2">
        <v>37.632973333333332</v>
      </c>
      <c r="I91" s="2">
        <v>141.01328000000001</v>
      </c>
      <c r="J91" s="4">
        <v>0</v>
      </c>
      <c r="K91" s="5">
        <v>13.9</v>
      </c>
      <c r="L91">
        <v>-85</v>
      </c>
      <c r="M91" s="2">
        <v>37.632933333333334</v>
      </c>
      <c r="N91" s="2">
        <v>141.01354666666666</v>
      </c>
      <c r="O91" s="4">
        <v>10.7416</v>
      </c>
      <c r="P91" s="5">
        <v>90.8</v>
      </c>
      <c r="Q91" s="2">
        <f>6378137*ACOS(SIN(RADIANS(H91))*SIN(RADIANS(M91))+COS(RADIANS(H91))*COS(RADIANS(M91))*COS(RADIANS(I91)-RADIANS(N91)))</f>
        <v>23.926911735296674</v>
      </c>
      <c r="R91" t="s">
        <v>136</v>
      </c>
    </row>
    <row r="92" spans="1:18" x14ac:dyDescent="0.7">
      <c r="A92">
        <v>77.5</v>
      </c>
      <c r="B92" s="3">
        <v>0.46619212962962964</v>
      </c>
      <c r="C92" s="2">
        <v>37.632930000000002</v>
      </c>
      <c r="D92" s="2">
        <v>141.01360000000003</v>
      </c>
      <c r="E92" s="4">
        <v>10.7416</v>
      </c>
      <c r="F92" s="5">
        <v>91.2</v>
      </c>
      <c r="G92">
        <v>-83</v>
      </c>
      <c r="H92" s="2">
        <v>37.632973333333332</v>
      </c>
      <c r="I92" s="2">
        <v>141.01328000000001</v>
      </c>
      <c r="J92" s="4">
        <v>0</v>
      </c>
      <c r="K92" s="5">
        <v>13.9</v>
      </c>
      <c r="L92">
        <v>-84</v>
      </c>
      <c r="M92" s="2">
        <v>37.632933333333334</v>
      </c>
      <c r="N92" s="2">
        <v>141.01360000000003</v>
      </c>
      <c r="O92" s="4">
        <v>10.7416</v>
      </c>
      <c r="P92" s="5">
        <v>91.2</v>
      </c>
      <c r="Q92" s="2">
        <f>6378137*ACOS(SIN(RADIANS(H92))*SIN(RADIANS(M92))+COS(RADIANS(H92))*COS(RADIANS(M92))*COS(RADIANS(I92)-RADIANS(N92)))</f>
        <v>28.559817415131892</v>
      </c>
      <c r="R92" t="s">
        <v>136</v>
      </c>
    </row>
    <row r="93" spans="1:18" x14ac:dyDescent="0.7">
      <c r="A93">
        <v>77.5</v>
      </c>
      <c r="B93" s="3">
        <v>0.46696759259259263</v>
      </c>
      <c r="C93" s="2">
        <v>37.632919999999999</v>
      </c>
      <c r="D93" s="2">
        <v>141.01362499999999</v>
      </c>
      <c r="E93" s="4">
        <v>23.150000000000002</v>
      </c>
      <c r="F93" s="5">
        <v>270.2</v>
      </c>
      <c r="G93">
        <v>-56</v>
      </c>
      <c r="H93" s="2">
        <v>37.632979999999996</v>
      </c>
      <c r="I93" s="2">
        <v>141.01328000000001</v>
      </c>
      <c r="J93" s="4">
        <v>0</v>
      </c>
      <c r="K93" s="5">
        <v>13.9</v>
      </c>
      <c r="L93">
        <v>-56</v>
      </c>
      <c r="M93" s="2">
        <v>37.632919999999999</v>
      </c>
      <c r="N93" s="2">
        <v>141.01362666666668</v>
      </c>
      <c r="O93" s="4">
        <v>23.150000000000002</v>
      </c>
      <c r="P93" s="5">
        <v>270.2</v>
      </c>
      <c r="Q93" s="2">
        <f>6378137*ACOS(SIN(RADIANS(H93))*SIN(RADIANS(M93))+COS(RADIANS(H93))*COS(RADIANS(M93))*COS(RADIANS(I93)-RADIANS(N93)))</f>
        <v>31.282998355122547</v>
      </c>
    </row>
    <row r="94" spans="1:18" x14ac:dyDescent="0.7">
      <c r="A94">
        <v>72.5</v>
      </c>
      <c r="B94" s="3">
        <v>0.46697916666666667</v>
      </c>
      <c r="C94" s="2">
        <v>37.632918333333336</v>
      </c>
      <c r="D94" s="2">
        <v>141.01354166666667</v>
      </c>
      <c r="E94" s="4">
        <v>24.261199999999999</v>
      </c>
      <c r="F94" s="5">
        <v>270.10000000000002</v>
      </c>
      <c r="G94">
        <v>-56</v>
      </c>
      <c r="H94" s="2">
        <v>37.632986666666667</v>
      </c>
      <c r="I94" s="2">
        <v>141.01328000000001</v>
      </c>
      <c r="J94" s="4">
        <v>0</v>
      </c>
      <c r="K94" s="5">
        <v>13.9</v>
      </c>
      <c r="L94">
        <v>-55</v>
      </c>
      <c r="M94" s="2">
        <v>37.632919999999999</v>
      </c>
      <c r="N94" s="2">
        <v>141.01354666666666</v>
      </c>
      <c r="O94" s="4">
        <v>24.261200000000002</v>
      </c>
      <c r="P94" s="5">
        <v>270.10000000000002</v>
      </c>
      <c r="Q94" s="2">
        <f>6378137*ACOS(SIN(RADIANS(H94))*SIN(RADIANS(M94))+COS(RADIANS(H94))*COS(RADIANS(M94))*COS(RADIANS(I94)-RADIANS(N94)))</f>
        <v>24.652455022134589</v>
      </c>
    </row>
    <row r="95" spans="1:18" x14ac:dyDescent="0.7">
      <c r="A95">
        <v>2.5</v>
      </c>
      <c r="B95" s="3">
        <v>0.46767361111111111</v>
      </c>
      <c r="C95" s="2">
        <v>37.632948333333339</v>
      </c>
      <c r="D95" s="2">
        <v>141.01271833333334</v>
      </c>
      <c r="E95" s="4">
        <v>12.964</v>
      </c>
      <c r="F95" s="5">
        <v>86.2</v>
      </c>
      <c r="G95">
        <v>-67</v>
      </c>
      <c r="H95" s="2">
        <v>37.632973333333332</v>
      </c>
      <c r="I95" s="2">
        <v>141.01330666666667</v>
      </c>
      <c r="J95" s="4">
        <v>0</v>
      </c>
      <c r="K95" s="5">
        <v>13.9</v>
      </c>
      <c r="L95">
        <v>-67</v>
      </c>
      <c r="M95" s="2">
        <v>37.632946666666662</v>
      </c>
      <c r="N95" s="2">
        <v>141.01272</v>
      </c>
      <c r="O95" s="4">
        <v>12.964</v>
      </c>
      <c r="P95" s="5">
        <v>86.2</v>
      </c>
      <c r="Q95" s="2">
        <f>6378137*ACOS(SIN(RADIANS(H95))*SIN(RADIANS(M95))+COS(RADIANS(H95))*COS(RADIANS(M95))*COS(RADIANS(I95)-RADIANS(N95)))</f>
        <v>51.804672979904822</v>
      </c>
      <c r="R95" t="s">
        <v>138</v>
      </c>
    </row>
    <row r="96" spans="1:18" x14ac:dyDescent="0.7">
      <c r="A96">
        <v>2.5</v>
      </c>
      <c r="B96" s="3">
        <v>0.46768518518518515</v>
      </c>
      <c r="C96" s="2">
        <v>37.632950000000001</v>
      </c>
      <c r="D96" s="2">
        <v>141.01277166666665</v>
      </c>
      <c r="E96" s="4">
        <v>17.594000000000001</v>
      </c>
      <c r="F96" s="5">
        <v>88.7</v>
      </c>
      <c r="G96">
        <v>-66</v>
      </c>
      <c r="H96" s="2">
        <v>37.632973333333332</v>
      </c>
      <c r="I96" s="2">
        <v>141.01330666666667</v>
      </c>
      <c r="J96" s="4">
        <v>0</v>
      </c>
      <c r="K96" s="5">
        <v>13.9</v>
      </c>
      <c r="L96">
        <v>-63</v>
      </c>
      <c r="M96" s="2">
        <v>37.632946666666662</v>
      </c>
      <c r="N96" s="2">
        <v>141.01277333333334</v>
      </c>
      <c r="O96" s="4">
        <v>17.594000000000001</v>
      </c>
      <c r="P96" s="5">
        <v>88.7</v>
      </c>
      <c r="Q96" s="2">
        <f>6378137*ACOS(SIN(RADIANS(H96))*SIN(RADIANS(M96))+COS(RADIANS(H96))*COS(RADIANS(M96))*COS(RADIANS(I96)-RADIANS(N96)))</f>
        <v>47.111330781788766</v>
      </c>
      <c r="R96" t="s">
        <v>138</v>
      </c>
    </row>
    <row r="97" spans="1:18" x14ac:dyDescent="0.7">
      <c r="A97">
        <v>7.5</v>
      </c>
      <c r="B97" s="3">
        <v>0.46768518518518515</v>
      </c>
      <c r="C97" s="2">
        <v>37.632950000000001</v>
      </c>
      <c r="D97" s="2">
        <v>141.01277166666665</v>
      </c>
      <c r="E97" s="4">
        <v>17.594000000000001</v>
      </c>
      <c r="F97" s="5">
        <v>88.7</v>
      </c>
      <c r="G97">
        <v>-66</v>
      </c>
      <c r="H97" s="2">
        <v>37.632973333333332</v>
      </c>
      <c r="I97" s="2">
        <v>141.01330666666667</v>
      </c>
      <c r="J97" s="4">
        <v>0</v>
      </c>
      <c r="K97" s="5">
        <v>13.9</v>
      </c>
      <c r="L97">
        <v>-63</v>
      </c>
      <c r="M97" s="2">
        <v>37.632946666666662</v>
      </c>
      <c r="N97" s="2">
        <v>141.01277333333334</v>
      </c>
      <c r="O97" s="4">
        <v>17.594000000000001</v>
      </c>
      <c r="P97" s="5">
        <v>88.7</v>
      </c>
      <c r="Q97" s="2">
        <f>6378137*ACOS(SIN(RADIANS(H97))*SIN(RADIANS(M97))+COS(RADIANS(H97))*COS(RADIANS(M97))*COS(RADIANS(I97)-RADIANS(N97)))</f>
        <v>47.111330781788766</v>
      </c>
      <c r="R97" t="s">
        <v>138</v>
      </c>
    </row>
    <row r="98" spans="1:18" x14ac:dyDescent="0.7">
      <c r="A98">
        <v>7.5</v>
      </c>
      <c r="B98" s="3">
        <v>0.4676967592592593</v>
      </c>
      <c r="C98" s="2">
        <v>37.632948333333339</v>
      </c>
      <c r="D98" s="2">
        <v>141.01283000000001</v>
      </c>
      <c r="E98" s="4">
        <v>18.8904</v>
      </c>
      <c r="F98" s="5">
        <v>90.3</v>
      </c>
      <c r="G98">
        <v>-64</v>
      </c>
      <c r="H98" s="2">
        <v>37.632973333333332</v>
      </c>
      <c r="I98" s="2">
        <v>141.01330666666667</v>
      </c>
      <c r="J98" s="4">
        <v>0</v>
      </c>
      <c r="K98" s="5">
        <v>13.9</v>
      </c>
      <c r="L98">
        <v>-61</v>
      </c>
      <c r="M98" s="2">
        <v>37.632946666666662</v>
      </c>
      <c r="N98" s="2">
        <v>141.01285333333331</v>
      </c>
      <c r="O98" s="4">
        <v>18.8904</v>
      </c>
      <c r="P98" s="5">
        <v>90.3</v>
      </c>
      <c r="Q98" s="2">
        <f>6378137*ACOS(SIN(RADIANS(H98))*SIN(RADIANS(M98))+COS(RADIANS(H98))*COS(RADIANS(M98))*COS(RADIANS(I98)-RADIANS(N98)))</f>
        <v>40.075243571274129</v>
      </c>
      <c r="R98" t="s">
        <v>138</v>
      </c>
    </row>
    <row r="99" spans="1:18" x14ac:dyDescent="0.7">
      <c r="A99">
        <v>17.5</v>
      </c>
      <c r="B99" s="3">
        <v>0.46770833333333334</v>
      </c>
      <c r="C99" s="2">
        <v>37.632951666666671</v>
      </c>
      <c r="D99" s="2">
        <v>141.01289</v>
      </c>
      <c r="E99" s="4">
        <v>19.446000000000002</v>
      </c>
      <c r="F99" s="5">
        <v>90.7</v>
      </c>
      <c r="G99">
        <v>-61</v>
      </c>
      <c r="H99" s="2">
        <v>37.632973333333332</v>
      </c>
      <c r="I99" s="2">
        <v>141.01328000000001</v>
      </c>
      <c r="J99" s="4">
        <v>0</v>
      </c>
      <c r="K99" s="5">
        <v>13.9</v>
      </c>
      <c r="L99">
        <v>-59</v>
      </c>
      <c r="M99" s="2">
        <v>37.632946666666662</v>
      </c>
      <c r="N99" s="2">
        <v>141.01288000000002</v>
      </c>
      <c r="O99" s="4">
        <v>19.446000000000002</v>
      </c>
      <c r="P99" s="5">
        <v>90.7</v>
      </c>
      <c r="Q99" s="2">
        <f>6378137*ACOS(SIN(RADIANS(H99))*SIN(RADIANS(M99))+COS(RADIANS(H99))*COS(RADIANS(M99))*COS(RADIANS(I99)-RADIANS(N99)))</f>
        <v>35.388052654569897</v>
      </c>
      <c r="R99" t="s">
        <v>138</v>
      </c>
    </row>
    <row r="100" spans="1:18" x14ac:dyDescent="0.7">
      <c r="A100">
        <v>22.5</v>
      </c>
      <c r="B100" s="3">
        <v>0.46771990740740743</v>
      </c>
      <c r="C100" s="2">
        <v>37.632951666666671</v>
      </c>
      <c r="D100" s="2">
        <v>141.01295333333334</v>
      </c>
      <c r="E100" s="4">
        <v>20.186800000000002</v>
      </c>
      <c r="F100" s="5">
        <v>91.2</v>
      </c>
      <c r="G100">
        <v>-59</v>
      </c>
      <c r="H100" s="2">
        <v>37.632973333333332</v>
      </c>
      <c r="I100" s="2">
        <v>141.01328000000001</v>
      </c>
      <c r="J100" s="4">
        <v>0</v>
      </c>
      <c r="K100" s="5">
        <v>13.9</v>
      </c>
      <c r="L100">
        <v>-58</v>
      </c>
      <c r="M100" s="2">
        <v>37.632946666666662</v>
      </c>
      <c r="N100" s="2">
        <v>141.01295999999999</v>
      </c>
      <c r="O100" s="4">
        <v>20.186800000000002</v>
      </c>
      <c r="P100" s="5">
        <v>91.2</v>
      </c>
      <c r="Q100" s="2">
        <f>6378137*ACOS(SIN(RADIANS(H100))*SIN(RADIANS(M100))+COS(RADIANS(H100))*COS(RADIANS(M100))*COS(RADIANS(I100)-RADIANS(N100)))</f>
        <v>28.366389401819173</v>
      </c>
      <c r="R100" t="s">
        <v>138</v>
      </c>
    </row>
    <row r="101" spans="1:18" x14ac:dyDescent="0.7">
      <c r="A101">
        <v>27.5</v>
      </c>
      <c r="B101" s="3">
        <v>0.46773148148148147</v>
      </c>
      <c r="C101" s="2">
        <v>37.632950000000001</v>
      </c>
      <c r="D101" s="2">
        <v>141.01301833333335</v>
      </c>
      <c r="E101" s="4">
        <v>20.186800000000002</v>
      </c>
      <c r="F101" s="5">
        <v>91.2</v>
      </c>
      <c r="G101">
        <v>-58</v>
      </c>
      <c r="H101" s="2">
        <v>37.632973333333332</v>
      </c>
      <c r="I101" s="2">
        <v>141.01328000000001</v>
      </c>
      <c r="J101" s="4">
        <v>0</v>
      </c>
      <c r="K101" s="5">
        <v>13.9</v>
      </c>
      <c r="L101">
        <v>-56</v>
      </c>
      <c r="M101" s="2">
        <v>37.632946666666662</v>
      </c>
      <c r="N101" s="2">
        <v>141.01301333333333</v>
      </c>
      <c r="O101" s="4">
        <v>20.186800000000002</v>
      </c>
      <c r="P101" s="5">
        <v>91.2</v>
      </c>
      <c r="Q101" s="2">
        <f>6378137*ACOS(SIN(RADIANS(H101))*SIN(RADIANS(M101))+COS(RADIANS(H101))*COS(RADIANS(M101))*COS(RADIANS(I101)-RADIANS(N101)))</f>
        <v>23.695695433879063</v>
      </c>
      <c r="R101" t="s">
        <v>138</v>
      </c>
    </row>
    <row r="102" spans="1:18" x14ac:dyDescent="0.7">
      <c r="A102">
        <v>32.5</v>
      </c>
      <c r="B102" s="3">
        <v>0.46774305555555556</v>
      </c>
      <c r="C102" s="2">
        <v>37.632953333333333</v>
      </c>
      <c r="D102" s="2">
        <v>141.01308</v>
      </c>
      <c r="E102" s="4">
        <v>18.8904</v>
      </c>
      <c r="F102" s="5">
        <v>90.8</v>
      </c>
      <c r="G102">
        <v>-54</v>
      </c>
      <c r="H102" s="2">
        <v>37.632973333333332</v>
      </c>
      <c r="I102" s="2">
        <v>141.01328000000001</v>
      </c>
      <c r="J102" s="4">
        <v>0</v>
      </c>
      <c r="K102" s="5">
        <v>13.9</v>
      </c>
      <c r="L102">
        <v>-49</v>
      </c>
      <c r="M102" s="2">
        <v>37.632946666666662</v>
      </c>
      <c r="N102" s="2">
        <v>141.01306666666667</v>
      </c>
      <c r="O102" s="4">
        <v>18.8904</v>
      </c>
      <c r="P102" s="5">
        <v>90.8</v>
      </c>
      <c r="Q102" s="2">
        <f>6378137*ACOS(SIN(RADIANS(H102))*SIN(RADIANS(M102))+COS(RADIANS(H102))*COS(RADIANS(M102))*COS(RADIANS(I102)-RADIANS(N102)))</f>
        <v>19.040141841103623</v>
      </c>
      <c r="R102" t="s">
        <v>138</v>
      </c>
    </row>
    <row r="103" spans="1:18" x14ac:dyDescent="0.7">
      <c r="A103">
        <v>37.5</v>
      </c>
      <c r="B103" s="3">
        <v>0.4677546296296296</v>
      </c>
      <c r="C103" s="2">
        <v>37.632955000000003</v>
      </c>
      <c r="D103" s="2">
        <v>141.01314499999998</v>
      </c>
      <c r="E103" s="4">
        <v>19.446000000000002</v>
      </c>
      <c r="F103" s="5">
        <v>89.9</v>
      </c>
      <c r="G103">
        <v>-48</v>
      </c>
      <c r="H103" s="2">
        <v>37.632973333333332</v>
      </c>
      <c r="I103" s="2">
        <v>141.01328000000001</v>
      </c>
      <c r="J103" s="4">
        <v>0</v>
      </c>
      <c r="K103" s="5">
        <v>13.9</v>
      </c>
      <c r="L103">
        <v>-41</v>
      </c>
      <c r="M103" s="2">
        <v>37.632953333333333</v>
      </c>
      <c r="N103" s="2">
        <v>141.01312000000001</v>
      </c>
      <c r="O103" s="4">
        <v>19.446000000000002</v>
      </c>
      <c r="P103" s="5">
        <v>89.9</v>
      </c>
      <c r="Q103" s="2">
        <f>6378137*ACOS(SIN(RADIANS(H103))*SIN(RADIANS(M103))+COS(RADIANS(H103))*COS(RADIANS(M103))*COS(RADIANS(I103)-RADIANS(N103)))</f>
        <v>14.279671494553391</v>
      </c>
      <c r="R103" t="s">
        <v>138</v>
      </c>
    </row>
    <row r="104" spans="1:18" x14ac:dyDescent="0.7">
      <c r="A104">
        <v>42.5</v>
      </c>
      <c r="B104" s="3">
        <v>0.46776620370370375</v>
      </c>
      <c r="C104" s="2">
        <v>37.632955000000003</v>
      </c>
      <c r="D104" s="2">
        <v>141.01320833333332</v>
      </c>
      <c r="E104" s="4">
        <v>19.6312</v>
      </c>
      <c r="F104" s="5">
        <v>89.8</v>
      </c>
      <c r="G104">
        <v>-46</v>
      </c>
      <c r="H104" s="2">
        <v>37.632973333333332</v>
      </c>
      <c r="I104" s="2">
        <v>141.01328000000001</v>
      </c>
      <c r="J104" s="4">
        <v>0</v>
      </c>
      <c r="K104" s="5">
        <v>13.9</v>
      </c>
      <c r="L104">
        <v>-54</v>
      </c>
      <c r="M104" s="2">
        <v>37.632953333333333</v>
      </c>
      <c r="N104" s="2">
        <v>141.01319999999998</v>
      </c>
      <c r="O104" s="4">
        <v>19.6312</v>
      </c>
      <c r="P104" s="5">
        <v>89.8</v>
      </c>
      <c r="Q104" s="2">
        <f>6378137*ACOS(SIN(RADIANS(H104))*SIN(RADIANS(M104))+COS(RADIANS(H104))*COS(RADIANS(M104))*COS(RADIANS(I104)-RADIANS(N104)))</f>
        <v>7.3961700786524176</v>
      </c>
      <c r="R104" t="s">
        <v>138</v>
      </c>
    </row>
    <row r="105" spans="1:18" x14ac:dyDescent="0.7">
      <c r="A105">
        <v>47.5</v>
      </c>
      <c r="B105" s="3">
        <v>0.46777777777777779</v>
      </c>
      <c r="C105" s="2">
        <v>37.632953333333333</v>
      </c>
      <c r="D105" s="2">
        <v>141.01327166666667</v>
      </c>
      <c r="E105" s="4">
        <v>19.6312</v>
      </c>
      <c r="F105" s="5">
        <v>89.9</v>
      </c>
      <c r="G105">
        <v>-60</v>
      </c>
      <c r="H105" s="2">
        <v>37.632973333333332</v>
      </c>
      <c r="I105" s="2">
        <v>141.01328000000001</v>
      </c>
      <c r="J105" s="4">
        <v>0</v>
      </c>
      <c r="K105" s="5">
        <v>13.9</v>
      </c>
      <c r="L105">
        <v>-60</v>
      </c>
      <c r="M105" s="2">
        <v>37.632946666666662</v>
      </c>
      <c r="N105" s="2">
        <v>141.01328000000001</v>
      </c>
      <c r="O105" s="4">
        <v>19.6312</v>
      </c>
      <c r="P105" s="5">
        <v>89.9</v>
      </c>
      <c r="Q105" s="2">
        <f>6378137*ACOS(SIN(RADIANS(H105))*SIN(RADIANS(M105))+COS(RADIANS(H105))*COS(RADIANS(M105))*COS(RADIANS(I105)-RADIANS(N105)))</f>
        <v>2.969195987687816</v>
      </c>
      <c r="R105" t="s">
        <v>138</v>
      </c>
    </row>
    <row r="106" spans="1:18" x14ac:dyDescent="0.7">
      <c r="A106">
        <v>52.5</v>
      </c>
      <c r="B106" s="3">
        <v>0.46777777777777779</v>
      </c>
      <c r="C106" s="2">
        <v>37.632953333333333</v>
      </c>
      <c r="D106" s="2">
        <v>141.01327166666667</v>
      </c>
      <c r="E106" s="4">
        <v>19.6312</v>
      </c>
      <c r="F106" s="5">
        <v>89.9</v>
      </c>
      <c r="G106">
        <v>-60</v>
      </c>
      <c r="H106" s="2">
        <v>37.632973333333332</v>
      </c>
      <c r="I106" s="2">
        <v>141.01328000000001</v>
      </c>
      <c r="J106" s="4">
        <v>0</v>
      </c>
      <c r="K106" s="5">
        <v>13.9</v>
      </c>
      <c r="L106">
        <v>-60</v>
      </c>
      <c r="M106" s="2">
        <v>37.632946666666662</v>
      </c>
      <c r="N106" s="2">
        <v>141.01328000000001</v>
      </c>
      <c r="O106" s="4">
        <v>19.6312</v>
      </c>
      <c r="P106" s="5">
        <v>89.9</v>
      </c>
      <c r="Q106" s="2">
        <f>6378137*ACOS(SIN(RADIANS(H106))*SIN(RADIANS(M106))+COS(RADIANS(H106))*COS(RADIANS(M106))*COS(RADIANS(I106)-RADIANS(N106)))</f>
        <v>2.969195987687816</v>
      </c>
      <c r="R106" t="s">
        <v>138</v>
      </c>
    </row>
    <row r="107" spans="1:18" x14ac:dyDescent="0.7">
      <c r="A107">
        <v>52.5</v>
      </c>
      <c r="B107" s="3">
        <v>0.46778935185185189</v>
      </c>
      <c r="C107" s="2">
        <v>37.632950000000001</v>
      </c>
      <c r="D107" s="2">
        <v>141.01333333333332</v>
      </c>
      <c r="E107" s="4">
        <v>19.6312</v>
      </c>
      <c r="F107" s="5">
        <v>90.4</v>
      </c>
      <c r="G107">
        <v>-63</v>
      </c>
      <c r="H107" s="2">
        <v>37.632973333333332</v>
      </c>
      <c r="I107" s="2">
        <v>141.01328000000001</v>
      </c>
      <c r="J107" s="4">
        <v>0</v>
      </c>
      <c r="K107" s="5">
        <v>13.9</v>
      </c>
      <c r="L107">
        <v>-73</v>
      </c>
      <c r="M107" s="2">
        <v>37.632946666666662</v>
      </c>
      <c r="N107" s="2">
        <v>141.01333333333332</v>
      </c>
      <c r="O107" s="4">
        <v>19.6312</v>
      </c>
      <c r="P107" s="5">
        <v>90.4</v>
      </c>
      <c r="Q107" s="2">
        <f>6378137*ACOS(SIN(RADIANS(H107))*SIN(RADIANS(M107))+COS(RADIANS(H107))*COS(RADIANS(M107))*COS(RADIANS(I107)-RADIANS(N107)))</f>
        <v>5.5605455891810838</v>
      </c>
      <c r="R107" t="s">
        <v>138</v>
      </c>
    </row>
    <row r="108" spans="1:18" x14ac:dyDescent="0.7">
      <c r="A108">
        <v>57.5</v>
      </c>
      <c r="B108" s="3">
        <v>0.46778935185185189</v>
      </c>
      <c r="C108" s="2">
        <v>37.632950000000001</v>
      </c>
      <c r="D108" s="2">
        <v>141.01333333333332</v>
      </c>
      <c r="E108" s="4">
        <v>19.6312</v>
      </c>
      <c r="F108" s="5">
        <v>90.4</v>
      </c>
      <c r="G108">
        <v>-63</v>
      </c>
      <c r="H108" s="2">
        <v>37.632973333333332</v>
      </c>
      <c r="I108" s="2">
        <v>141.01328000000001</v>
      </c>
      <c r="J108" s="4">
        <v>0</v>
      </c>
      <c r="K108" s="5">
        <v>13.9</v>
      </c>
      <c r="L108">
        <v>-73</v>
      </c>
      <c r="M108" s="2">
        <v>37.632946666666662</v>
      </c>
      <c r="N108" s="2">
        <v>141.01333333333332</v>
      </c>
      <c r="O108" s="4">
        <v>19.6312</v>
      </c>
      <c r="P108" s="5">
        <v>90.4</v>
      </c>
      <c r="Q108" s="2">
        <f>6378137*ACOS(SIN(RADIANS(H108))*SIN(RADIANS(M108))+COS(RADIANS(H108))*COS(RADIANS(M108))*COS(RADIANS(I108)-RADIANS(N108)))</f>
        <v>5.5605455891810838</v>
      </c>
      <c r="R108" t="s">
        <v>138</v>
      </c>
    </row>
    <row r="109" spans="1:18" x14ac:dyDescent="0.7">
      <c r="A109">
        <v>62.5</v>
      </c>
      <c r="B109" s="3">
        <v>0.46780092592592593</v>
      </c>
      <c r="C109" s="2">
        <v>37.632944999999999</v>
      </c>
      <c r="D109" s="2">
        <v>141.013395</v>
      </c>
      <c r="E109" s="4">
        <v>19.6312</v>
      </c>
      <c r="F109" s="5">
        <v>91.1</v>
      </c>
      <c r="G109">
        <v>-73</v>
      </c>
      <c r="H109" s="2">
        <v>37.632973333333332</v>
      </c>
      <c r="I109" s="2">
        <v>141.01328000000001</v>
      </c>
      <c r="J109" s="4">
        <v>0</v>
      </c>
      <c r="K109" s="5">
        <v>13.9</v>
      </c>
      <c r="L109">
        <v>-74</v>
      </c>
      <c r="M109" s="2">
        <v>37.632946666666662</v>
      </c>
      <c r="N109" s="2">
        <v>141.01338666666666</v>
      </c>
      <c r="O109" s="4">
        <v>19.6312</v>
      </c>
      <c r="P109" s="5">
        <v>91.1</v>
      </c>
      <c r="Q109" s="2">
        <f>6378137*ACOS(SIN(RADIANS(H109))*SIN(RADIANS(M109))+COS(RADIANS(H109))*COS(RADIANS(M109))*COS(RADIANS(I109)-RADIANS(N109)))</f>
        <v>9.8610003292168926</v>
      </c>
      <c r="R109" t="s">
        <v>138</v>
      </c>
    </row>
    <row r="110" spans="1:18" x14ac:dyDescent="0.7">
      <c r="A110">
        <v>67.5</v>
      </c>
      <c r="B110" s="3">
        <v>0.46781249999999996</v>
      </c>
      <c r="C110" s="2">
        <v>37.63294333333333</v>
      </c>
      <c r="D110" s="2">
        <v>141.01345666666666</v>
      </c>
      <c r="E110" s="4">
        <v>19.6312</v>
      </c>
      <c r="F110" s="5">
        <v>91.5</v>
      </c>
      <c r="G110">
        <v>-76</v>
      </c>
      <c r="H110" s="2">
        <v>37.632973333333332</v>
      </c>
      <c r="I110" s="2">
        <v>141.01328000000001</v>
      </c>
      <c r="J110" s="4">
        <v>0</v>
      </c>
      <c r="K110" s="5">
        <v>13.9</v>
      </c>
      <c r="L110">
        <v>-81</v>
      </c>
      <c r="M110" s="2">
        <v>37.632946666666662</v>
      </c>
      <c r="N110" s="2">
        <v>141.01344</v>
      </c>
      <c r="O110" s="4">
        <v>19.6312</v>
      </c>
      <c r="P110" s="5">
        <v>91.5</v>
      </c>
      <c r="Q110" s="2">
        <f>6378137*ACOS(SIN(RADIANS(H110))*SIN(RADIANS(M110))+COS(RADIANS(H110))*COS(RADIANS(M110))*COS(RADIANS(I110)-RADIANS(N110)))</f>
        <v>14.414406180060945</v>
      </c>
      <c r="R110" t="s">
        <v>138</v>
      </c>
    </row>
    <row r="111" spans="1:18" x14ac:dyDescent="0.7">
      <c r="A111">
        <v>67.5</v>
      </c>
      <c r="B111" s="3">
        <v>0.46782407407407406</v>
      </c>
      <c r="C111" s="2">
        <v>37.63294333333333</v>
      </c>
      <c r="D111" s="2">
        <v>141.01351500000001</v>
      </c>
      <c r="E111" s="4">
        <v>19.6312</v>
      </c>
      <c r="F111" s="5">
        <v>91.7</v>
      </c>
      <c r="G111">
        <v>-78</v>
      </c>
      <c r="H111" s="2">
        <v>37.632973333333332</v>
      </c>
      <c r="I111" s="2">
        <v>141.01328000000001</v>
      </c>
      <c r="J111" s="4">
        <v>0</v>
      </c>
      <c r="K111" s="5">
        <v>13.9</v>
      </c>
      <c r="L111">
        <v>-82</v>
      </c>
      <c r="M111" s="2">
        <v>37.632946666666662</v>
      </c>
      <c r="N111" s="2">
        <v>141.01352</v>
      </c>
      <c r="O111" s="4">
        <v>19.6312</v>
      </c>
      <c r="P111" s="5">
        <v>91.7</v>
      </c>
      <c r="Q111" s="2">
        <f>6378137*ACOS(SIN(RADIANS(H111))*SIN(RADIANS(M111))+COS(RADIANS(H111))*COS(RADIANS(M111))*COS(RADIANS(I111)-RADIANS(N111)))</f>
        <v>21.365353913416179</v>
      </c>
      <c r="R111" t="s">
        <v>138</v>
      </c>
    </row>
    <row r="112" spans="1:18" x14ac:dyDescent="0.7">
      <c r="A112">
        <v>72.5</v>
      </c>
      <c r="B112" s="3">
        <v>0.46782407407407406</v>
      </c>
      <c r="C112" s="2">
        <v>37.63294333333333</v>
      </c>
      <c r="D112" s="2">
        <v>141.01351500000001</v>
      </c>
      <c r="E112" s="4">
        <v>19.6312</v>
      </c>
      <c r="F112" s="5">
        <v>91.7</v>
      </c>
      <c r="G112">
        <v>-78</v>
      </c>
      <c r="H112" s="2">
        <v>37.632973333333332</v>
      </c>
      <c r="I112" s="2">
        <v>141.01328000000001</v>
      </c>
      <c r="J112" s="4">
        <v>0</v>
      </c>
      <c r="K112" s="5">
        <v>13.9</v>
      </c>
      <c r="L112">
        <v>-82</v>
      </c>
      <c r="M112" s="2">
        <v>37.632946666666662</v>
      </c>
      <c r="N112" s="2">
        <v>141.01352</v>
      </c>
      <c r="O112" s="4">
        <v>19.6312</v>
      </c>
      <c r="P112" s="5">
        <v>91.7</v>
      </c>
      <c r="Q112" s="2">
        <f>6378137*ACOS(SIN(RADIANS(H112))*SIN(RADIANS(M112))+COS(RADIANS(H112))*COS(RADIANS(M112))*COS(RADIANS(I112)-RADIANS(N112)))</f>
        <v>21.365353913416179</v>
      </c>
      <c r="R112" t="s">
        <v>138</v>
      </c>
    </row>
    <row r="113" spans="1:18" x14ac:dyDescent="0.7">
      <c r="A113">
        <v>77.5</v>
      </c>
      <c r="B113" s="3">
        <v>0.46834490740740736</v>
      </c>
      <c r="C113" s="2">
        <v>37.632903333333338</v>
      </c>
      <c r="D113" s="2">
        <v>141.01356166666667</v>
      </c>
      <c r="E113" s="4">
        <v>26.483600000000003</v>
      </c>
      <c r="F113" s="5">
        <v>270.2</v>
      </c>
      <c r="G113">
        <v>-56</v>
      </c>
      <c r="H113" s="2">
        <v>37.632960000000004</v>
      </c>
      <c r="I113" s="2">
        <v>141.01328000000001</v>
      </c>
      <c r="J113" s="4">
        <v>0</v>
      </c>
      <c r="K113" s="5">
        <v>13.9</v>
      </c>
      <c r="L113">
        <v>-56</v>
      </c>
      <c r="M113" s="2">
        <v>37.632906666666671</v>
      </c>
      <c r="N113" s="2">
        <v>141.01354666666666</v>
      </c>
      <c r="O113" s="4">
        <v>26.483600000000003</v>
      </c>
      <c r="P113" s="5">
        <v>270.2</v>
      </c>
      <c r="Q113" s="2">
        <f>6378137*ACOS(SIN(RADIANS(H113))*SIN(RADIANS(M113))+COS(RADIANS(H113))*COS(RADIANS(M113))*COS(RADIANS(I113)-RADIANS(N113)))</f>
        <v>24.246985187992365</v>
      </c>
    </row>
    <row r="114" spans="1:18" x14ac:dyDescent="0.7">
      <c r="A114">
        <v>2.5</v>
      </c>
      <c r="B114" s="3">
        <v>0.46908564814814818</v>
      </c>
      <c r="C114" s="2">
        <v>37.632955000000003</v>
      </c>
      <c r="D114" s="2">
        <v>141.01274166666664</v>
      </c>
      <c r="E114" s="4">
        <v>16.297600000000003</v>
      </c>
      <c r="F114" s="5">
        <v>91.1</v>
      </c>
      <c r="G114">
        <v>-67</v>
      </c>
      <c r="H114" s="2">
        <v>37.632966666666668</v>
      </c>
      <c r="I114" s="2">
        <v>141.01328000000001</v>
      </c>
      <c r="J114" s="4">
        <v>0</v>
      </c>
      <c r="K114" s="5">
        <v>13.9</v>
      </c>
      <c r="L114">
        <v>-64</v>
      </c>
      <c r="M114" s="2">
        <v>37.632953333333333</v>
      </c>
      <c r="N114" s="2">
        <v>141.01274666666669</v>
      </c>
      <c r="O114" s="4">
        <v>16.297599999999999</v>
      </c>
      <c r="P114" s="5">
        <v>91.1</v>
      </c>
      <c r="Q114" s="2">
        <f>6378137*ACOS(SIN(RADIANS(H114))*SIN(RADIANS(M114))+COS(RADIANS(H114))*COS(RADIANS(M114))*COS(RADIANS(I114)-RADIANS(N114)))</f>
        <v>47.041103244580661</v>
      </c>
      <c r="R114" t="s">
        <v>140</v>
      </c>
    </row>
    <row r="115" spans="1:18" x14ac:dyDescent="0.7">
      <c r="A115">
        <v>7.5</v>
      </c>
      <c r="B115" s="3">
        <v>0.46909722222222222</v>
      </c>
      <c r="C115" s="2">
        <v>37.632955000000003</v>
      </c>
      <c r="D115" s="2">
        <v>141.01280333333335</v>
      </c>
      <c r="E115" s="4">
        <v>18.8904</v>
      </c>
      <c r="F115" s="5">
        <v>90.9</v>
      </c>
      <c r="G115">
        <v>-64</v>
      </c>
      <c r="H115" s="2">
        <v>37.632966666666668</v>
      </c>
      <c r="I115" s="2">
        <v>141.01328000000001</v>
      </c>
      <c r="J115" s="4">
        <v>0</v>
      </c>
      <c r="K115" s="5">
        <v>13.9</v>
      </c>
      <c r="L115">
        <v>-61</v>
      </c>
      <c r="M115" s="2">
        <v>37.632953333333333</v>
      </c>
      <c r="N115" s="2">
        <v>141.0128</v>
      </c>
      <c r="O115" s="4">
        <v>18.8904</v>
      </c>
      <c r="P115" s="5">
        <v>90.9</v>
      </c>
      <c r="Q115" s="2">
        <f>6378137*ACOS(SIN(RADIANS(H115))*SIN(RADIANS(M115))+COS(RADIANS(H115))*COS(RADIANS(M115))*COS(RADIANS(I115)-RADIANS(N115)))</f>
        <v>42.34188065745262</v>
      </c>
      <c r="R115" t="s">
        <v>140</v>
      </c>
    </row>
    <row r="116" spans="1:18" x14ac:dyDescent="0.7">
      <c r="A116">
        <v>17.5</v>
      </c>
      <c r="B116" s="3">
        <v>0.46910879629629632</v>
      </c>
      <c r="C116" s="2">
        <v>37.632953333333333</v>
      </c>
      <c r="D116" s="2">
        <v>141.01286833333333</v>
      </c>
      <c r="E116" s="4">
        <v>20.186800000000002</v>
      </c>
      <c r="F116" s="5">
        <v>91.2</v>
      </c>
      <c r="G116">
        <v>-61</v>
      </c>
      <c r="H116" s="2">
        <v>37.632966666666668</v>
      </c>
      <c r="I116" s="2">
        <v>141.01328000000001</v>
      </c>
      <c r="J116" s="4">
        <v>0</v>
      </c>
      <c r="K116" s="5">
        <v>13.9</v>
      </c>
      <c r="L116">
        <v>-59</v>
      </c>
      <c r="M116" s="2">
        <v>37.632946666666662</v>
      </c>
      <c r="N116" s="2">
        <v>141.01285333333331</v>
      </c>
      <c r="O116" s="4">
        <v>20.186800000000002</v>
      </c>
      <c r="P116" s="5">
        <v>91.2</v>
      </c>
      <c r="Q116" s="2">
        <f>6378137*ACOS(SIN(RADIANS(H116))*SIN(RADIANS(M116))+COS(RADIANS(H116))*COS(RADIANS(M116))*COS(RADIANS(I116)-RADIANS(N116)))</f>
        <v>37.679908142531694</v>
      </c>
      <c r="R116" t="s">
        <v>140</v>
      </c>
    </row>
    <row r="117" spans="1:18" x14ac:dyDescent="0.7">
      <c r="A117">
        <v>17.5</v>
      </c>
      <c r="B117" s="3">
        <v>0.46912037037037035</v>
      </c>
      <c r="C117" s="2">
        <v>37.632953333333333</v>
      </c>
      <c r="D117" s="2">
        <v>141.01293333333334</v>
      </c>
      <c r="E117" s="4">
        <v>20.7424</v>
      </c>
      <c r="F117" s="5">
        <v>90.8</v>
      </c>
      <c r="G117">
        <v>-58</v>
      </c>
      <c r="H117" s="2">
        <v>37.632960000000004</v>
      </c>
      <c r="I117" s="2">
        <v>141.01328000000001</v>
      </c>
      <c r="J117" s="4">
        <v>0</v>
      </c>
      <c r="K117" s="5">
        <v>13.9</v>
      </c>
      <c r="L117">
        <v>-57</v>
      </c>
      <c r="M117" s="2">
        <v>37.632946666666662</v>
      </c>
      <c r="N117" s="2">
        <v>141.01293333333334</v>
      </c>
      <c r="O117" s="4">
        <v>20.7424</v>
      </c>
      <c r="P117" s="5">
        <v>90.8</v>
      </c>
      <c r="Q117" s="2">
        <f>6378137*ACOS(SIN(RADIANS(H117))*SIN(RADIANS(M117))+COS(RADIANS(H117))*COS(RADIANS(M117))*COS(RADIANS(I117)-RADIANS(N117)))</f>
        <v>30.597506734143469</v>
      </c>
      <c r="R117" t="s">
        <v>140</v>
      </c>
    </row>
    <row r="118" spans="1:18" x14ac:dyDescent="0.7">
      <c r="A118">
        <v>22.5</v>
      </c>
      <c r="B118" s="3">
        <v>0.46912037037037035</v>
      </c>
      <c r="C118" s="2">
        <v>37.632953333333333</v>
      </c>
      <c r="D118" s="2">
        <v>141.01293333333334</v>
      </c>
      <c r="E118" s="4">
        <v>20.7424</v>
      </c>
      <c r="F118" s="5">
        <v>90.8</v>
      </c>
      <c r="G118">
        <v>-58</v>
      </c>
      <c r="H118" s="2">
        <v>37.632960000000004</v>
      </c>
      <c r="I118" s="2">
        <v>141.01328000000001</v>
      </c>
      <c r="J118" s="4">
        <v>0</v>
      </c>
      <c r="K118" s="5">
        <v>13.9</v>
      </c>
      <c r="L118">
        <v>-57</v>
      </c>
      <c r="M118" s="2">
        <v>37.632946666666662</v>
      </c>
      <c r="N118" s="2">
        <v>141.01293333333334</v>
      </c>
      <c r="O118" s="4">
        <v>20.7424</v>
      </c>
      <c r="P118" s="5">
        <v>90.8</v>
      </c>
      <c r="Q118" s="2">
        <f>6378137*ACOS(SIN(RADIANS(H118))*SIN(RADIANS(M118))+COS(RADIANS(H118))*COS(RADIANS(M118))*COS(RADIANS(I118)-RADIANS(N118)))</f>
        <v>30.597506734143469</v>
      </c>
      <c r="R118" t="s">
        <v>140</v>
      </c>
    </row>
    <row r="119" spans="1:18" x14ac:dyDescent="0.7">
      <c r="A119">
        <v>27.5</v>
      </c>
      <c r="B119" s="3">
        <v>0.46913194444444445</v>
      </c>
      <c r="C119" s="2">
        <v>37.632951666666671</v>
      </c>
      <c r="D119" s="2">
        <v>141.01300000000001</v>
      </c>
      <c r="E119" s="4">
        <v>20.7424</v>
      </c>
      <c r="F119" s="5">
        <v>90.5</v>
      </c>
      <c r="G119">
        <v>-57</v>
      </c>
      <c r="H119" s="2">
        <v>37.632960000000004</v>
      </c>
      <c r="I119" s="2">
        <v>141.01328000000001</v>
      </c>
      <c r="J119" s="4">
        <v>0</v>
      </c>
      <c r="K119" s="5">
        <v>13.9</v>
      </c>
      <c r="L119">
        <v>-59</v>
      </c>
      <c r="M119" s="2">
        <v>37.632946666666662</v>
      </c>
      <c r="N119" s="2">
        <v>141.01301333333333</v>
      </c>
      <c r="O119" s="4">
        <v>20.7424</v>
      </c>
      <c r="P119" s="5">
        <v>90.5</v>
      </c>
      <c r="Q119" s="2">
        <f>6378137*ACOS(SIN(RADIANS(H119))*SIN(RADIANS(M119))+COS(RADIANS(H119))*COS(RADIANS(M119))*COS(RADIANS(I119)-RADIANS(N119)))</f>
        <v>23.555761257689049</v>
      </c>
      <c r="R119" t="s">
        <v>140</v>
      </c>
    </row>
    <row r="120" spans="1:18" x14ac:dyDescent="0.7">
      <c r="A120">
        <v>32.5</v>
      </c>
      <c r="B120" s="3">
        <v>0.46914351851851849</v>
      </c>
      <c r="C120" s="2">
        <v>37.632950000000001</v>
      </c>
      <c r="D120" s="2">
        <v>141.01306500000001</v>
      </c>
      <c r="E120" s="4">
        <v>20.372</v>
      </c>
      <c r="F120" s="5">
        <v>90.2</v>
      </c>
      <c r="G120">
        <v>-59</v>
      </c>
      <c r="H120" s="2">
        <v>37.632960000000004</v>
      </c>
      <c r="I120" s="2">
        <v>141.01328000000001</v>
      </c>
      <c r="J120" s="4">
        <v>0</v>
      </c>
      <c r="K120" s="5">
        <v>13.9</v>
      </c>
      <c r="L120">
        <v>-57</v>
      </c>
      <c r="M120" s="2">
        <v>37.632946666666662</v>
      </c>
      <c r="N120" s="2">
        <v>141.01306666666667</v>
      </c>
      <c r="O120" s="4">
        <v>20.372</v>
      </c>
      <c r="P120" s="5">
        <v>90.2</v>
      </c>
      <c r="Q120" s="2">
        <f>6378137*ACOS(SIN(RADIANS(H120))*SIN(RADIANS(M120))+COS(RADIANS(H120))*COS(RADIANS(M120))*COS(RADIANS(I120)-RADIANS(N120)))</f>
        <v>18.865707189440347</v>
      </c>
      <c r="R120" t="s">
        <v>140</v>
      </c>
    </row>
    <row r="121" spans="1:18" x14ac:dyDescent="0.7">
      <c r="A121">
        <v>37.5</v>
      </c>
      <c r="B121" s="3">
        <v>0.46915509259259264</v>
      </c>
      <c r="C121" s="2">
        <v>37.632950000000001</v>
      </c>
      <c r="D121" s="2">
        <v>141.013125</v>
      </c>
      <c r="E121" s="4">
        <v>18.8904</v>
      </c>
      <c r="F121" s="5">
        <v>90.2</v>
      </c>
      <c r="G121">
        <v>-58</v>
      </c>
      <c r="H121" s="2">
        <v>37.632960000000004</v>
      </c>
      <c r="I121" s="2">
        <v>141.01328000000001</v>
      </c>
      <c r="J121" s="4">
        <v>0</v>
      </c>
      <c r="K121" s="5">
        <v>13.9</v>
      </c>
      <c r="L121">
        <v>-47</v>
      </c>
      <c r="M121" s="2">
        <v>37.632946666666662</v>
      </c>
      <c r="N121" s="2">
        <v>141.01312000000001</v>
      </c>
      <c r="O121" s="4">
        <v>18.8904</v>
      </c>
      <c r="P121" s="5">
        <v>90.2</v>
      </c>
      <c r="Q121" s="2">
        <f>6378137*ACOS(SIN(RADIANS(H121))*SIN(RADIANS(M121))+COS(RADIANS(H121))*COS(RADIANS(M121))*COS(RADIANS(I121)-RADIANS(N121)))</f>
        <v>14.183194700909587</v>
      </c>
      <c r="R121" t="s">
        <v>140</v>
      </c>
    </row>
    <row r="122" spans="1:18" x14ac:dyDescent="0.7">
      <c r="A122">
        <v>42.5</v>
      </c>
      <c r="B122" s="3">
        <v>0.46916666666666668</v>
      </c>
      <c r="C122" s="2">
        <v>37.632951666666671</v>
      </c>
      <c r="D122" s="2">
        <v>141.01318166666667</v>
      </c>
      <c r="E122" s="4">
        <v>18.8904</v>
      </c>
      <c r="F122" s="5">
        <v>90.4</v>
      </c>
      <c r="G122">
        <v>-45</v>
      </c>
      <c r="H122" s="2">
        <v>37.632960000000004</v>
      </c>
      <c r="I122" s="2">
        <v>141.01328000000001</v>
      </c>
      <c r="J122" s="4">
        <v>0</v>
      </c>
      <c r="K122" s="5">
        <v>13.9</v>
      </c>
      <c r="L122">
        <v>-35</v>
      </c>
      <c r="M122" s="2">
        <v>37.632946666666662</v>
      </c>
      <c r="N122" s="2">
        <v>141.01319999999998</v>
      </c>
      <c r="O122" s="4">
        <v>18.8904</v>
      </c>
      <c r="P122" s="5">
        <v>90.4</v>
      </c>
      <c r="Q122" s="2">
        <f>6378137*ACOS(SIN(RADIANS(H122))*SIN(RADIANS(M122))+COS(RADIANS(H122))*COS(RADIANS(M122))*COS(RADIANS(I122)-RADIANS(N122)))</f>
        <v>7.2081430162853817</v>
      </c>
      <c r="R122" t="s">
        <v>140</v>
      </c>
    </row>
    <row r="123" spans="1:18" x14ac:dyDescent="0.7">
      <c r="A123">
        <v>42.5</v>
      </c>
      <c r="B123" s="3">
        <v>0.46917824074074077</v>
      </c>
      <c r="C123" s="2">
        <v>37.632951666666671</v>
      </c>
      <c r="D123" s="2">
        <v>141.01323833333333</v>
      </c>
      <c r="E123" s="4">
        <v>18.8904</v>
      </c>
      <c r="F123" s="5">
        <v>90.5</v>
      </c>
      <c r="G123">
        <v>-37</v>
      </c>
      <c r="H123" s="2">
        <v>37.632966666666668</v>
      </c>
      <c r="I123" s="2">
        <v>141.01328000000001</v>
      </c>
      <c r="J123" s="4">
        <v>0</v>
      </c>
      <c r="K123" s="5">
        <v>13.9</v>
      </c>
      <c r="L123">
        <v>-61</v>
      </c>
      <c r="M123" s="2">
        <v>37.632946666666662</v>
      </c>
      <c r="N123" s="2">
        <v>141.01322666666667</v>
      </c>
      <c r="O123" s="4">
        <v>18.8904</v>
      </c>
      <c r="P123" s="5">
        <v>90.5</v>
      </c>
      <c r="Q123" s="2">
        <f>6378137*ACOS(SIN(RADIANS(H123))*SIN(RADIANS(M123))+COS(RADIANS(H123))*COS(RADIANS(M123))*COS(RADIANS(I123)-RADIANS(N123)))</f>
        <v>5.2021738381375418</v>
      </c>
      <c r="R123" t="s">
        <v>140</v>
      </c>
    </row>
    <row r="124" spans="1:18" x14ac:dyDescent="0.7">
      <c r="A124">
        <v>47.5</v>
      </c>
      <c r="B124" s="3">
        <v>0.46917824074074077</v>
      </c>
      <c r="C124" s="2">
        <v>37.632951666666671</v>
      </c>
      <c r="D124" s="2">
        <v>141.01323833333333</v>
      </c>
      <c r="E124" s="4">
        <v>18.8904</v>
      </c>
      <c r="F124" s="5">
        <v>90.5</v>
      </c>
      <c r="G124">
        <v>-37</v>
      </c>
      <c r="H124" s="2">
        <v>37.632966666666668</v>
      </c>
      <c r="I124" s="2">
        <v>141.01328000000001</v>
      </c>
      <c r="J124" s="4">
        <v>0</v>
      </c>
      <c r="K124" s="5">
        <v>13.9</v>
      </c>
      <c r="L124">
        <v>-61</v>
      </c>
      <c r="M124" s="2">
        <v>37.632946666666662</v>
      </c>
      <c r="N124" s="2">
        <v>141.01322666666667</v>
      </c>
      <c r="O124" s="4">
        <v>18.8904</v>
      </c>
      <c r="P124" s="5">
        <v>90.5</v>
      </c>
      <c r="Q124" s="2">
        <f>6378137*ACOS(SIN(RADIANS(H124))*SIN(RADIANS(M124))+COS(RADIANS(H124))*COS(RADIANS(M124))*COS(RADIANS(I124)-RADIANS(N124)))</f>
        <v>5.2021738381375418</v>
      </c>
      <c r="R124" t="s">
        <v>140</v>
      </c>
    </row>
    <row r="125" spans="1:18" x14ac:dyDescent="0.7">
      <c r="A125">
        <v>52.5</v>
      </c>
      <c r="B125" s="3">
        <v>0.46918981481481481</v>
      </c>
      <c r="C125" s="2">
        <v>37.632953333333333</v>
      </c>
      <c r="D125" s="2">
        <v>141.013295</v>
      </c>
      <c r="E125" s="4">
        <v>18.8904</v>
      </c>
      <c r="F125" s="5">
        <v>90.7</v>
      </c>
      <c r="G125">
        <v>-68</v>
      </c>
      <c r="H125" s="2">
        <v>37.632966666666668</v>
      </c>
      <c r="I125" s="2">
        <v>141.01328000000001</v>
      </c>
      <c r="J125" s="4">
        <v>0</v>
      </c>
      <c r="K125" s="5">
        <v>13.9</v>
      </c>
      <c r="L125">
        <v>-70</v>
      </c>
      <c r="M125" s="2">
        <v>37.632946666666662</v>
      </c>
      <c r="N125" s="2">
        <v>141.01328000000001</v>
      </c>
      <c r="O125" s="4">
        <v>18.8904</v>
      </c>
      <c r="P125" s="5">
        <v>90.7</v>
      </c>
      <c r="Q125" s="2">
        <f>6378137*ACOS(SIN(RADIANS(H125))*SIN(RADIANS(M125))+COS(RADIANS(H125))*COS(RADIANS(M125))*COS(RADIANS(I125)-RADIANS(N125)))</f>
        <v>2.2248679273538512</v>
      </c>
      <c r="R125" t="s">
        <v>140</v>
      </c>
    </row>
    <row r="126" spans="1:18" x14ac:dyDescent="0.7">
      <c r="A126">
        <v>57.5</v>
      </c>
      <c r="B126" s="3">
        <v>0.4692013888888889</v>
      </c>
      <c r="C126" s="2">
        <v>37.632955000000003</v>
      </c>
      <c r="D126" s="2">
        <v>141.01334833333334</v>
      </c>
      <c r="E126" s="4">
        <v>18.8904</v>
      </c>
      <c r="F126" s="5">
        <v>90.8</v>
      </c>
      <c r="G126">
        <v>-68</v>
      </c>
      <c r="H126" s="2">
        <v>37.632966666666668</v>
      </c>
      <c r="I126" s="2">
        <v>141.01328000000001</v>
      </c>
      <c r="J126" s="4">
        <v>0</v>
      </c>
      <c r="K126" s="5">
        <v>13.9</v>
      </c>
      <c r="L126">
        <v>-73</v>
      </c>
      <c r="M126" s="2">
        <v>37.632953333333333</v>
      </c>
      <c r="N126" s="2">
        <v>141.01336000000001</v>
      </c>
      <c r="O126" s="4">
        <v>18.8904</v>
      </c>
      <c r="P126" s="5">
        <v>90.8</v>
      </c>
      <c r="Q126" s="2">
        <f>6378137*ACOS(SIN(RADIANS(H126))*SIN(RADIANS(M126))+COS(RADIANS(H126))*COS(RADIANS(M126))*COS(RADIANS(I126)-RADIANS(N126)))</f>
        <v>7.2068897538983716</v>
      </c>
      <c r="R126" t="s">
        <v>140</v>
      </c>
    </row>
    <row r="127" spans="1:18" x14ac:dyDescent="0.7">
      <c r="A127">
        <v>62.5</v>
      </c>
      <c r="B127" s="3">
        <v>0.46921296296296294</v>
      </c>
      <c r="C127" s="2">
        <v>37.632953333333333</v>
      </c>
      <c r="D127" s="2">
        <v>141.01340333333334</v>
      </c>
      <c r="E127" s="4">
        <v>18.705200000000001</v>
      </c>
      <c r="F127" s="5">
        <v>91.1</v>
      </c>
      <c r="G127">
        <v>-71</v>
      </c>
      <c r="H127" s="2">
        <v>37.632966666666668</v>
      </c>
      <c r="I127" s="2">
        <v>141.01328000000001</v>
      </c>
      <c r="J127" s="4">
        <v>0</v>
      </c>
      <c r="K127" s="5">
        <v>13.9</v>
      </c>
      <c r="L127">
        <v>-75</v>
      </c>
      <c r="M127" s="2">
        <v>37.632946666666662</v>
      </c>
      <c r="N127" s="2">
        <v>141.01338666666666</v>
      </c>
      <c r="O127" s="4">
        <v>18.705200000000001</v>
      </c>
      <c r="P127" s="5">
        <v>91.1</v>
      </c>
      <c r="Q127" s="2">
        <f>6378137*ACOS(SIN(RADIANS(H127))*SIN(RADIANS(M127))+COS(RADIANS(H127))*COS(RADIANS(M127))*COS(RADIANS(I127)-RADIANS(N127)))</f>
        <v>9.6634503616773682</v>
      </c>
      <c r="R127" t="s">
        <v>140</v>
      </c>
    </row>
    <row r="128" spans="1:18" x14ac:dyDescent="0.7">
      <c r="A128">
        <v>67.5</v>
      </c>
      <c r="B128" s="3">
        <v>0.46922453703703698</v>
      </c>
      <c r="C128" s="2">
        <v>37.632950000000001</v>
      </c>
      <c r="D128" s="2">
        <v>141.01346166666664</v>
      </c>
      <c r="E128" s="4">
        <v>17.779199999999999</v>
      </c>
      <c r="F128" s="5">
        <v>91.5</v>
      </c>
      <c r="G128">
        <v>-75</v>
      </c>
      <c r="H128" s="2">
        <v>37.632966666666668</v>
      </c>
      <c r="I128" s="2">
        <v>141.01328000000001</v>
      </c>
      <c r="J128" s="4">
        <v>0</v>
      </c>
      <c r="K128" s="5">
        <v>13.9</v>
      </c>
      <c r="L128">
        <v>-77</v>
      </c>
      <c r="M128" s="2">
        <v>37.632946666666662</v>
      </c>
      <c r="N128" s="2">
        <v>141.01344</v>
      </c>
      <c r="O128" s="4">
        <v>17.779199999999999</v>
      </c>
      <c r="P128" s="5">
        <v>91.5</v>
      </c>
      <c r="Q128" s="2">
        <f>6378137*ACOS(SIN(RADIANS(H128))*SIN(RADIANS(M128))+COS(RADIANS(H128))*COS(RADIANS(M128))*COS(RADIANS(I128)-RADIANS(N128)))</f>
        <v>14.279671494553391</v>
      </c>
      <c r="R128" t="s">
        <v>140</v>
      </c>
    </row>
    <row r="129" spans="1:18" x14ac:dyDescent="0.7">
      <c r="A129">
        <v>67.5</v>
      </c>
      <c r="B129" s="3">
        <v>0.46923611111111113</v>
      </c>
      <c r="C129" s="2">
        <v>37.632948333333339</v>
      </c>
      <c r="D129" s="2">
        <v>141.01351833333334</v>
      </c>
      <c r="E129" s="4">
        <v>17.779199999999999</v>
      </c>
      <c r="F129" s="5">
        <v>91.5</v>
      </c>
      <c r="G129">
        <v>-79</v>
      </c>
      <c r="H129" s="2">
        <v>37.632966666666668</v>
      </c>
      <c r="I129" s="2">
        <v>141.01328000000001</v>
      </c>
      <c r="J129" s="4">
        <v>0</v>
      </c>
      <c r="K129" s="5">
        <v>13.9</v>
      </c>
      <c r="L129">
        <v>-82</v>
      </c>
      <c r="M129" s="2">
        <v>37.632946666666662</v>
      </c>
      <c r="N129" s="2">
        <v>141.01352</v>
      </c>
      <c r="O129" s="4">
        <v>17.779199999999999</v>
      </c>
      <c r="P129" s="5">
        <v>91.5</v>
      </c>
      <c r="Q129" s="2">
        <f>6378137*ACOS(SIN(RADIANS(H129))*SIN(RADIANS(M129))+COS(RADIANS(H129))*COS(RADIANS(M129))*COS(RADIANS(I129)-RADIANS(N129)))</f>
        <v>21.274898195746761</v>
      </c>
      <c r="R129" t="s">
        <v>140</v>
      </c>
    </row>
    <row r="130" spans="1:18" x14ac:dyDescent="0.7">
      <c r="A130">
        <v>77.5</v>
      </c>
      <c r="B130" s="3">
        <v>0.46978009259259257</v>
      </c>
      <c r="C130" s="2">
        <v>37.632896666666667</v>
      </c>
      <c r="D130" s="2">
        <v>141.01361833333334</v>
      </c>
      <c r="E130" s="4">
        <v>22.038800000000002</v>
      </c>
      <c r="F130" s="5">
        <v>270.3</v>
      </c>
      <c r="G130">
        <v>-58</v>
      </c>
      <c r="H130" s="2">
        <v>37.632946666666662</v>
      </c>
      <c r="I130" s="2">
        <v>141.01328000000001</v>
      </c>
      <c r="J130" s="4">
        <v>0</v>
      </c>
      <c r="K130" s="5">
        <v>13.9</v>
      </c>
      <c r="L130">
        <v>-58</v>
      </c>
      <c r="M130" s="2">
        <v>37.632893333333328</v>
      </c>
      <c r="N130" s="2">
        <v>141.01362666666668</v>
      </c>
      <c r="O130" s="4">
        <v>22.038800000000002</v>
      </c>
      <c r="P130" s="5">
        <v>270.3</v>
      </c>
      <c r="Q130" s="2">
        <f>6378137*ACOS(SIN(RADIANS(H130))*SIN(RADIANS(M130))+COS(RADIANS(H130))*COS(RADIANS(M130))*COS(RADIANS(I130)-RADIANS(N130)))</f>
        <v>31.132922341197766</v>
      </c>
    </row>
    <row r="131" spans="1:18" x14ac:dyDescent="0.7">
      <c r="A131">
        <v>77.5</v>
      </c>
      <c r="B131" s="3">
        <v>0.47064814814814815</v>
      </c>
      <c r="C131" s="2">
        <v>37.632923333333331</v>
      </c>
      <c r="D131" s="2">
        <v>141.01358833333333</v>
      </c>
      <c r="E131" s="4">
        <v>39.447600000000001</v>
      </c>
      <c r="F131" s="5">
        <v>90.9</v>
      </c>
      <c r="Q131" s="2">
        <f>6378137*ACOS(SIN(RADIANS(H131))*SIN(RADIANS(M131))+COS(RADIANS(H131))*COS(RADIANS(M131))*COS(RADIANS(I131)-RADIANS(N131)))</f>
        <v>0</v>
      </c>
    </row>
    <row r="132" spans="1:18" x14ac:dyDescent="0.7">
      <c r="A132">
        <v>72.5</v>
      </c>
      <c r="B132" s="3">
        <v>0.47104166666666664</v>
      </c>
      <c r="C132" s="2">
        <v>37.632921666666668</v>
      </c>
      <c r="D132" s="2">
        <v>141.01355333333333</v>
      </c>
      <c r="E132" s="4">
        <v>25.187200000000001</v>
      </c>
      <c r="F132" s="5">
        <v>269.89999999999998</v>
      </c>
      <c r="G132">
        <v>-60</v>
      </c>
      <c r="H132" s="2">
        <v>37.632939999999998</v>
      </c>
      <c r="I132" s="2">
        <v>141.01328000000001</v>
      </c>
      <c r="J132" s="4">
        <v>0</v>
      </c>
      <c r="K132" s="5">
        <v>13.9</v>
      </c>
      <c r="L132">
        <v>-60</v>
      </c>
      <c r="M132" s="2">
        <v>37.63292666666667</v>
      </c>
      <c r="N132" s="2">
        <v>141.01354666666666</v>
      </c>
      <c r="O132" s="4">
        <v>25.187200000000001</v>
      </c>
      <c r="P132" s="5">
        <v>269.89999999999998</v>
      </c>
      <c r="Q132" s="2">
        <f>6378137*ACOS(SIN(RADIANS(H132))*SIN(RADIANS(M132))+COS(RADIANS(H132))*COS(RADIANS(M132))*COS(RADIANS(I132)-RADIANS(N132)))</f>
        <v>23.555761257689049</v>
      </c>
    </row>
    <row r="133" spans="1:18" x14ac:dyDescent="0.7">
      <c r="A133">
        <v>57.5</v>
      </c>
      <c r="B133" s="3">
        <v>0.47106481481481483</v>
      </c>
      <c r="C133" s="2">
        <v>37.63292666666667</v>
      </c>
      <c r="D133" s="2">
        <v>141.013385</v>
      </c>
      <c r="E133" s="4">
        <v>25.742800000000003</v>
      </c>
      <c r="F133" s="5">
        <v>271</v>
      </c>
      <c r="G133">
        <v>-63</v>
      </c>
      <c r="H133" s="2">
        <v>37.632946666666662</v>
      </c>
      <c r="I133" s="2">
        <v>141.01328000000001</v>
      </c>
      <c r="J133" s="4">
        <v>0</v>
      </c>
      <c r="K133" s="5">
        <v>13.9</v>
      </c>
      <c r="L133">
        <v>-61</v>
      </c>
      <c r="M133" s="2">
        <v>37.632933333333334</v>
      </c>
      <c r="N133" s="2">
        <v>141.01338666666666</v>
      </c>
      <c r="O133" s="4">
        <v>25.742800000000003</v>
      </c>
      <c r="P133" s="5">
        <v>271</v>
      </c>
      <c r="Q133" s="2">
        <f>6378137*ACOS(SIN(RADIANS(H133))*SIN(RADIANS(M133))+COS(RADIANS(H133))*COS(RADIANS(M133))*COS(RADIANS(I133)-RADIANS(N133)))</f>
        <v>9.5203081250669808</v>
      </c>
    </row>
    <row r="134" spans="1:18" x14ac:dyDescent="0.7">
      <c r="A134">
        <v>62.5</v>
      </c>
      <c r="B134" s="3">
        <v>0.47106481481481483</v>
      </c>
      <c r="C134" s="2">
        <v>37.63292666666667</v>
      </c>
      <c r="D134" s="2">
        <v>141.013385</v>
      </c>
      <c r="E134" s="4">
        <v>25.742800000000003</v>
      </c>
      <c r="F134" s="5">
        <v>271</v>
      </c>
      <c r="G134">
        <v>-63</v>
      </c>
      <c r="H134" s="2">
        <v>37.632946666666662</v>
      </c>
      <c r="I134" s="2">
        <v>141.01328000000001</v>
      </c>
      <c r="J134" s="4">
        <v>0</v>
      </c>
      <c r="K134" s="5">
        <v>13.9</v>
      </c>
      <c r="L134">
        <v>-61</v>
      </c>
      <c r="M134" s="2">
        <v>37.632933333333334</v>
      </c>
      <c r="N134" s="2">
        <v>141.01338666666666</v>
      </c>
      <c r="O134" s="4">
        <v>25.742800000000003</v>
      </c>
      <c r="P134" s="5">
        <v>271</v>
      </c>
      <c r="Q134" s="2">
        <f>6378137*ACOS(SIN(RADIANS(H134))*SIN(RADIANS(M134))+COS(RADIANS(H134))*COS(RADIANS(M134))*COS(RADIANS(I134)-RADIANS(N134)))</f>
        <v>9.5203081250669808</v>
      </c>
    </row>
    <row r="135" spans="1:18" x14ac:dyDescent="0.7">
      <c r="A135">
        <v>27.5</v>
      </c>
      <c r="B135" s="3">
        <v>0.47111111111111109</v>
      </c>
      <c r="C135" s="2">
        <v>37.632934999999996</v>
      </c>
      <c r="D135" s="2">
        <v>141.01304833333333</v>
      </c>
      <c r="E135" s="4">
        <v>25.742800000000003</v>
      </c>
      <c r="F135" s="5">
        <v>271.60000000000002</v>
      </c>
      <c r="G135">
        <v>-77</v>
      </c>
      <c r="H135" s="2">
        <v>37.632946666666662</v>
      </c>
      <c r="I135" s="2">
        <v>141.01328000000001</v>
      </c>
      <c r="J135" s="4">
        <v>0</v>
      </c>
      <c r="K135" s="5">
        <v>13.9</v>
      </c>
      <c r="L135">
        <v>-85</v>
      </c>
      <c r="M135" s="2">
        <v>37.632933333333334</v>
      </c>
      <c r="N135" s="2">
        <v>141.01306666666667</v>
      </c>
      <c r="O135" s="4">
        <v>25.742800000000003</v>
      </c>
      <c r="P135" s="5">
        <v>271.60000000000002</v>
      </c>
      <c r="Q135" s="2">
        <f>6378137*ACOS(SIN(RADIANS(H135))*SIN(RADIANS(M135))+COS(RADIANS(H135))*COS(RADIANS(M135))*COS(RADIANS(I135)-RADIANS(N135)))</f>
        <v>18.865946587697195</v>
      </c>
    </row>
    <row r="136" spans="1:18" x14ac:dyDescent="0.7">
      <c r="A136">
        <v>32.5</v>
      </c>
      <c r="B136" s="3">
        <v>0.47111111111111109</v>
      </c>
      <c r="C136" s="2">
        <v>37.632934999999996</v>
      </c>
      <c r="D136" s="2">
        <v>141.01304833333333</v>
      </c>
      <c r="E136" s="4">
        <v>25.742800000000003</v>
      </c>
      <c r="F136" s="5">
        <v>271.60000000000002</v>
      </c>
      <c r="G136">
        <v>-77</v>
      </c>
      <c r="H136" s="2">
        <v>37.632946666666662</v>
      </c>
      <c r="I136" s="2">
        <v>141.01328000000001</v>
      </c>
      <c r="J136" s="4">
        <v>0</v>
      </c>
      <c r="K136" s="5">
        <v>13.9</v>
      </c>
      <c r="L136">
        <v>-85</v>
      </c>
      <c r="M136" s="2">
        <v>37.632933333333334</v>
      </c>
      <c r="N136" s="2">
        <v>141.01306666666667</v>
      </c>
      <c r="O136" s="4">
        <v>25.742800000000003</v>
      </c>
      <c r="P136" s="5">
        <v>271.60000000000002</v>
      </c>
      <c r="Q136" s="2">
        <f>6378137*ACOS(SIN(RADIANS(H136))*SIN(RADIANS(M136))+COS(RADIANS(H136))*COS(RADIANS(M136))*COS(RADIANS(I136)-RADIANS(N136)))</f>
        <v>18.865946587697195</v>
      </c>
    </row>
    <row r="137" spans="1:18" x14ac:dyDescent="0.7">
      <c r="A137">
        <v>27.5</v>
      </c>
      <c r="B137" s="3">
        <v>0.47112268518518513</v>
      </c>
      <c r="C137" s="2">
        <v>37.632936666666666</v>
      </c>
      <c r="D137" s="2">
        <v>141.01296833333333</v>
      </c>
      <c r="E137" s="4">
        <v>25.742800000000003</v>
      </c>
      <c r="F137" s="5">
        <v>271.5</v>
      </c>
      <c r="G137">
        <v>-87</v>
      </c>
      <c r="H137" s="2">
        <v>37.632946666666662</v>
      </c>
      <c r="I137" s="2">
        <v>141.01328000000001</v>
      </c>
      <c r="J137" s="4">
        <v>0</v>
      </c>
      <c r="K137" s="5">
        <v>13.9</v>
      </c>
      <c r="L137">
        <v>-90</v>
      </c>
      <c r="M137" s="2">
        <v>37.632933333333334</v>
      </c>
      <c r="N137" s="2">
        <v>141.01295999999999</v>
      </c>
      <c r="O137" s="4">
        <v>25.742800000000003</v>
      </c>
      <c r="P137" s="5">
        <v>271.5</v>
      </c>
      <c r="Q137" s="2">
        <f>6378137*ACOS(SIN(RADIANS(H137))*SIN(RADIANS(M137))+COS(RADIANS(H137))*COS(RADIANS(M137))*COS(RADIANS(I137)-RADIANS(N137)))</f>
        <v>28.249760830539209</v>
      </c>
    </row>
    <row r="138" spans="1:18" x14ac:dyDescent="0.7">
      <c r="A138">
        <v>2.5</v>
      </c>
      <c r="B138" s="3">
        <v>0.47115740740740741</v>
      </c>
      <c r="C138" s="2">
        <v>37.63294333333333</v>
      </c>
      <c r="D138" s="2">
        <v>141.01274999999998</v>
      </c>
      <c r="E138" s="4">
        <v>21.4832</v>
      </c>
      <c r="F138" s="5">
        <v>271.7</v>
      </c>
      <c r="G138">
        <v>-97</v>
      </c>
      <c r="H138" s="2">
        <v>37.632946666666662</v>
      </c>
      <c r="I138" s="2">
        <v>141.01328000000001</v>
      </c>
      <c r="J138" s="4">
        <v>0</v>
      </c>
      <c r="K138" s="5">
        <v>13.9</v>
      </c>
      <c r="L138">
        <v>-90</v>
      </c>
      <c r="M138" s="2">
        <v>37.632946666666662</v>
      </c>
      <c r="N138" s="2">
        <v>141.01274666666669</v>
      </c>
      <c r="O138" s="4">
        <v>21.4832</v>
      </c>
      <c r="P138" s="5">
        <v>271.7</v>
      </c>
      <c r="Q138" s="2">
        <f>6378137*ACOS(SIN(RADIANS(H138))*SIN(RADIANS(M138))+COS(RADIANS(H138))*COS(RADIANS(M138))*COS(RADIANS(I138)-RADIANS(N138)))</f>
        <v>47.017766813988615</v>
      </c>
    </row>
    <row r="139" spans="1:18" x14ac:dyDescent="0.7">
      <c r="A139">
        <v>2.5</v>
      </c>
      <c r="B139" s="3">
        <v>0.47175925925925927</v>
      </c>
      <c r="C139" s="2">
        <v>37.632961666666667</v>
      </c>
      <c r="D139" s="2">
        <v>141.01272833333331</v>
      </c>
      <c r="E139" s="4">
        <v>28.706000000000003</v>
      </c>
      <c r="F139" s="5">
        <v>90.7</v>
      </c>
      <c r="G139">
        <v>-60</v>
      </c>
      <c r="H139" s="2">
        <v>37.632960000000004</v>
      </c>
      <c r="I139" s="2">
        <v>141.01328000000001</v>
      </c>
      <c r="J139" s="4">
        <v>0</v>
      </c>
      <c r="K139" s="5">
        <v>13.9</v>
      </c>
      <c r="L139">
        <v>-59</v>
      </c>
      <c r="M139" s="2">
        <v>37.632960000000004</v>
      </c>
      <c r="N139" s="2">
        <v>141.01272</v>
      </c>
      <c r="O139" s="4">
        <v>28.706000000000003</v>
      </c>
      <c r="P139" s="5">
        <v>90.7</v>
      </c>
      <c r="Q139" s="2">
        <f>6378137*ACOS(SIN(RADIANS(H139))*SIN(RADIANS(M139))+COS(RADIANS(H139))*COS(RADIANS(M139))*COS(RADIANS(I139)-RADIANS(N139)))</f>
        <v>49.368532793187129</v>
      </c>
      <c r="R139" t="s">
        <v>142</v>
      </c>
    </row>
    <row r="140" spans="1:18" x14ac:dyDescent="0.7">
      <c r="A140">
        <v>7.5</v>
      </c>
      <c r="B140" s="3">
        <v>0.47177083333333331</v>
      </c>
      <c r="C140" s="2">
        <v>37.632960000000004</v>
      </c>
      <c r="D140" s="2">
        <v>141.01279666666667</v>
      </c>
      <c r="E140" s="4">
        <v>32.224800000000002</v>
      </c>
      <c r="F140" s="5">
        <v>90.9</v>
      </c>
      <c r="G140">
        <v>-59</v>
      </c>
      <c r="H140" s="2">
        <v>37.632966666666668</v>
      </c>
      <c r="I140" s="2">
        <v>141.01328000000001</v>
      </c>
      <c r="J140" s="4">
        <v>0</v>
      </c>
      <c r="K140" s="5">
        <v>13.9</v>
      </c>
      <c r="L140">
        <v>-58</v>
      </c>
      <c r="M140" s="2">
        <v>37.632960000000004</v>
      </c>
      <c r="N140" s="2">
        <v>141.0128</v>
      </c>
      <c r="O140" s="4">
        <v>32.224800000000002</v>
      </c>
      <c r="P140" s="5">
        <v>90.9</v>
      </c>
      <c r="Q140" s="2">
        <f>6378137*ACOS(SIN(RADIANS(H140))*SIN(RADIANS(M140))+COS(RADIANS(H140))*COS(RADIANS(M140))*COS(RADIANS(I140)-RADIANS(N140)))</f>
        <v>42.322462913713508</v>
      </c>
      <c r="R140" t="s">
        <v>142</v>
      </c>
    </row>
    <row r="141" spans="1:18" x14ac:dyDescent="0.7">
      <c r="A141">
        <v>12.5</v>
      </c>
      <c r="B141" s="3">
        <v>0.47178240740740746</v>
      </c>
      <c r="C141" s="2">
        <v>37.632960000000004</v>
      </c>
      <c r="D141" s="2">
        <v>141.01288000000002</v>
      </c>
      <c r="E141" s="4">
        <v>34.076799999999999</v>
      </c>
      <c r="F141" s="5">
        <v>90.9</v>
      </c>
      <c r="G141">
        <v>-55</v>
      </c>
      <c r="H141" s="2">
        <v>37.632966666666668</v>
      </c>
      <c r="I141" s="2">
        <v>141.01328000000001</v>
      </c>
      <c r="J141" s="4">
        <v>0</v>
      </c>
      <c r="K141" s="5">
        <v>13.9</v>
      </c>
      <c r="L141">
        <v>-47</v>
      </c>
      <c r="M141" s="2">
        <v>37.632960000000004</v>
      </c>
      <c r="N141" s="2">
        <v>141.01285333333331</v>
      </c>
      <c r="O141" s="4">
        <v>34.076799999999999</v>
      </c>
      <c r="P141" s="5">
        <v>90.9</v>
      </c>
      <c r="Q141" s="2">
        <f>6378137*ACOS(SIN(RADIANS(H141))*SIN(RADIANS(M141))+COS(RADIANS(H141))*COS(RADIANS(M141))*COS(RADIANS(I141)-RADIANS(N141)))</f>
        <v>37.621369130078975</v>
      </c>
      <c r="R141" t="s">
        <v>142</v>
      </c>
    </row>
    <row r="142" spans="1:18" x14ac:dyDescent="0.7">
      <c r="A142">
        <v>17.5</v>
      </c>
      <c r="B142" s="3">
        <v>0.47178240740740746</v>
      </c>
      <c r="C142" s="2">
        <v>37.632960000000004</v>
      </c>
      <c r="D142" s="2">
        <v>141.01288000000002</v>
      </c>
      <c r="E142" s="4">
        <v>34.076799999999999</v>
      </c>
      <c r="F142" s="5">
        <v>90.9</v>
      </c>
      <c r="G142">
        <v>-55</v>
      </c>
      <c r="H142" s="2">
        <v>37.632966666666668</v>
      </c>
      <c r="I142" s="2">
        <v>141.01328000000001</v>
      </c>
      <c r="J142" s="4">
        <v>0</v>
      </c>
      <c r="K142" s="5">
        <v>13.9</v>
      </c>
      <c r="L142">
        <v>-47</v>
      </c>
      <c r="M142" s="2">
        <v>37.632960000000004</v>
      </c>
      <c r="N142" s="2">
        <v>141.01285333333331</v>
      </c>
      <c r="O142" s="4">
        <v>34.076799999999999</v>
      </c>
      <c r="P142" s="5">
        <v>90.9</v>
      </c>
      <c r="Q142" s="2">
        <f>6378137*ACOS(SIN(RADIANS(H142))*SIN(RADIANS(M142))+COS(RADIANS(H142))*COS(RADIANS(M142))*COS(RADIANS(I142)-RADIANS(N142)))</f>
        <v>37.621369130078975</v>
      </c>
      <c r="R142" t="s">
        <v>142</v>
      </c>
    </row>
    <row r="143" spans="1:18" x14ac:dyDescent="0.7">
      <c r="A143">
        <v>22.5</v>
      </c>
      <c r="B143" s="3">
        <v>0.47179398148148149</v>
      </c>
      <c r="C143" s="2">
        <v>37.632958333333335</v>
      </c>
      <c r="D143" s="2">
        <v>141.01297833333334</v>
      </c>
      <c r="E143" s="4">
        <v>36.669600000000003</v>
      </c>
      <c r="F143" s="5">
        <v>90.9</v>
      </c>
      <c r="G143">
        <v>-54</v>
      </c>
      <c r="H143" s="2">
        <v>37.632966666666668</v>
      </c>
      <c r="I143" s="2">
        <v>141.01328000000001</v>
      </c>
      <c r="J143" s="4">
        <v>0</v>
      </c>
      <c r="K143" s="5">
        <v>13.9</v>
      </c>
      <c r="L143">
        <v>-77</v>
      </c>
      <c r="M143" s="2">
        <v>37.632953333333333</v>
      </c>
      <c r="N143" s="2">
        <v>141.01295999999999</v>
      </c>
      <c r="O143" s="4">
        <v>36.669600000000003</v>
      </c>
      <c r="P143" s="5">
        <v>90.9</v>
      </c>
      <c r="Q143" s="2">
        <f>6378137*ACOS(SIN(RADIANS(H143))*SIN(RADIANS(M143))+COS(RADIANS(H143))*COS(RADIANS(M143))*COS(RADIANS(I143)-RADIANS(N143)))</f>
        <v>28.249600953647974</v>
      </c>
      <c r="R143" t="s">
        <v>142</v>
      </c>
    </row>
    <row r="144" spans="1:18" x14ac:dyDescent="0.7">
      <c r="A144">
        <v>27.5</v>
      </c>
      <c r="B144" s="3">
        <v>0.47179398148148149</v>
      </c>
      <c r="C144" s="2">
        <v>37.632958333333335</v>
      </c>
      <c r="D144" s="2">
        <v>141.01297833333334</v>
      </c>
      <c r="E144" s="4">
        <v>36.669600000000003</v>
      </c>
      <c r="F144" s="5">
        <v>90.9</v>
      </c>
      <c r="G144">
        <v>-54</v>
      </c>
      <c r="H144" s="2">
        <v>37.632966666666668</v>
      </c>
      <c r="I144" s="2">
        <v>141.01328000000001</v>
      </c>
      <c r="J144" s="4">
        <v>0</v>
      </c>
      <c r="K144" s="5">
        <v>13.9</v>
      </c>
      <c r="L144">
        <v>-77</v>
      </c>
      <c r="M144" s="2">
        <v>37.632953333333333</v>
      </c>
      <c r="N144" s="2">
        <v>141.01295999999999</v>
      </c>
      <c r="O144" s="4">
        <v>36.669600000000003</v>
      </c>
      <c r="P144" s="5">
        <v>90.9</v>
      </c>
      <c r="Q144" s="2">
        <f>6378137*ACOS(SIN(RADIANS(H144))*SIN(RADIANS(M144))+COS(RADIANS(H144))*COS(RADIANS(M144))*COS(RADIANS(I144)-RADIANS(N144)))</f>
        <v>28.249600953647974</v>
      </c>
      <c r="R144" t="s">
        <v>142</v>
      </c>
    </row>
    <row r="145" spans="1:18" x14ac:dyDescent="0.7">
      <c r="A145">
        <v>32.5</v>
      </c>
      <c r="B145" s="3">
        <v>0.47180555555555559</v>
      </c>
      <c r="C145" s="2">
        <v>37.632958333333335</v>
      </c>
      <c r="D145" s="2">
        <v>141.01308833333331</v>
      </c>
      <c r="E145" s="4">
        <v>40.188400000000001</v>
      </c>
      <c r="F145" s="5">
        <v>90.7</v>
      </c>
      <c r="G145">
        <v>-78</v>
      </c>
      <c r="H145" s="2">
        <v>37.632966666666668</v>
      </c>
      <c r="I145" s="2">
        <v>141.01328000000001</v>
      </c>
      <c r="J145" s="4">
        <v>0</v>
      </c>
      <c r="K145" s="5">
        <v>13.9</v>
      </c>
      <c r="L145">
        <v>-82</v>
      </c>
      <c r="M145" s="2">
        <v>37.632953333333333</v>
      </c>
      <c r="N145" s="2">
        <v>141.01309333333333</v>
      </c>
      <c r="O145" s="4">
        <v>40.188400000000001</v>
      </c>
      <c r="P145" s="5">
        <v>90.7</v>
      </c>
      <c r="Q145" s="2">
        <f>6378137*ACOS(SIN(RADIANS(H145))*SIN(RADIANS(M145))+COS(RADIANS(H145))*COS(RADIANS(M145))*COS(RADIANS(I145)-RADIANS(N145)))</f>
        <v>16.523038945254488</v>
      </c>
      <c r="R145" t="s">
        <v>142</v>
      </c>
    </row>
    <row r="146" spans="1:18" x14ac:dyDescent="0.7">
      <c r="A146">
        <v>37.5</v>
      </c>
      <c r="B146" s="3">
        <v>0.47180555555555559</v>
      </c>
      <c r="C146" s="2">
        <v>37.632958333333335</v>
      </c>
      <c r="D146" s="2">
        <v>141.01308833333331</v>
      </c>
      <c r="E146" s="4">
        <v>40.188400000000001</v>
      </c>
      <c r="F146" s="5">
        <v>90.7</v>
      </c>
      <c r="G146">
        <v>-78</v>
      </c>
      <c r="H146" s="2">
        <v>37.632966666666668</v>
      </c>
      <c r="I146" s="2">
        <v>141.01328000000001</v>
      </c>
      <c r="J146" s="4">
        <v>0</v>
      </c>
      <c r="K146" s="5">
        <v>13.9</v>
      </c>
      <c r="L146">
        <v>-82</v>
      </c>
      <c r="M146" s="2">
        <v>37.632953333333333</v>
      </c>
      <c r="N146" s="2">
        <v>141.01309333333333</v>
      </c>
      <c r="O146" s="4">
        <v>40.188400000000001</v>
      </c>
      <c r="P146" s="5">
        <v>90.7</v>
      </c>
      <c r="Q146" s="2">
        <f>6378137*ACOS(SIN(RADIANS(H146))*SIN(RADIANS(M146))+COS(RADIANS(H146))*COS(RADIANS(M146))*COS(RADIANS(I146)-RADIANS(N146)))</f>
        <v>16.523038945254488</v>
      </c>
      <c r="R146" t="s">
        <v>142</v>
      </c>
    </row>
    <row r="147" spans="1:18" x14ac:dyDescent="0.7">
      <c r="A147">
        <v>42.5</v>
      </c>
      <c r="B147" s="3">
        <v>0.47181712962962963</v>
      </c>
      <c r="C147" s="2">
        <v>37.632956666666672</v>
      </c>
      <c r="D147" s="2">
        <v>141.01321000000002</v>
      </c>
      <c r="E147" s="4">
        <v>42.596000000000004</v>
      </c>
      <c r="F147" s="5">
        <v>90.8</v>
      </c>
      <c r="G147">
        <v>-84</v>
      </c>
      <c r="H147" s="2">
        <v>37.632973333333332</v>
      </c>
      <c r="I147" s="2">
        <v>141.01328000000001</v>
      </c>
      <c r="J147" s="4">
        <v>0</v>
      </c>
      <c r="K147" s="5">
        <v>13.9</v>
      </c>
      <c r="L147">
        <v>-85</v>
      </c>
      <c r="M147" s="2">
        <v>37.632953333333333</v>
      </c>
      <c r="N147" s="2">
        <v>141.01319999999998</v>
      </c>
      <c r="O147" s="4">
        <v>42.596000000000004</v>
      </c>
      <c r="P147" s="5">
        <v>90.8</v>
      </c>
      <c r="Q147" s="2">
        <f>6378137*ACOS(SIN(RADIANS(H147))*SIN(RADIANS(M147))+COS(RADIANS(H147))*COS(RADIANS(M147))*COS(RADIANS(I147)-RADIANS(N147)))</f>
        <v>7.3961700786524176</v>
      </c>
      <c r="R147" t="s">
        <v>142</v>
      </c>
    </row>
    <row r="148" spans="1:18" x14ac:dyDescent="0.7">
      <c r="A148">
        <v>52.5</v>
      </c>
      <c r="B148" s="3">
        <v>0.47182870370370367</v>
      </c>
      <c r="C148" s="2">
        <v>37.632953333333333</v>
      </c>
      <c r="D148" s="2">
        <v>141.01333000000002</v>
      </c>
      <c r="E148" s="4">
        <v>42.596000000000004</v>
      </c>
      <c r="F148" s="5">
        <v>91</v>
      </c>
      <c r="G148">
        <v>-88</v>
      </c>
      <c r="H148" s="2">
        <v>37.632973333333332</v>
      </c>
      <c r="I148" s="2">
        <v>141.01328000000001</v>
      </c>
      <c r="J148" s="4">
        <v>0</v>
      </c>
      <c r="K148" s="5">
        <v>13.9</v>
      </c>
      <c r="L148">
        <v>-92</v>
      </c>
      <c r="M148" s="2">
        <v>37.632946666666662</v>
      </c>
      <c r="N148" s="2">
        <v>141.01333333333332</v>
      </c>
      <c r="O148" s="4">
        <v>42.596000000000004</v>
      </c>
      <c r="P148" s="5">
        <v>91</v>
      </c>
      <c r="Q148" s="2">
        <f>6378137*ACOS(SIN(RADIANS(H148))*SIN(RADIANS(M148))+COS(RADIANS(H148))*COS(RADIANS(M148))*COS(RADIANS(I148)-RADIANS(N148)))</f>
        <v>5.5605455891810838</v>
      </c>
      <c r="R148" t="s">
        <v>142</v>
      </c>
    </row>
    <row r="149" spans="1:18" x14ac:dyDescent="0.7">
      <c r="A149">
        <v>57.5</v>
      </c>
      <c r="B149" s="3">
        <v>0.47182870370370367</v>
      </c>
      <c r="C149" s="2">
        <v>37.632953333333333</v>
      </c>
      <c r="D149" s="2">
        <v>141.01333000000002</v>
      </c>
      <c r="E149" s="4">
        <v>42.596000000000004</v>
      </c>
      <c r="F149" s="5">
        <v>91</v>
      </c>
      <c r="G149">
        <v>-88</v>
      </c>
      <c r="H149" s="2">
        <v>37.632973333333332</v>
      </c>
      <c r="I149" s="2">
        <v>141.01328000000001</v>
      </c>
      <c r="J149" s="4">
        <v>0</v>
      </c>
      <c r="K149" s="5">
        <v>13.9</v>
      </c>
      <c r="L149">
        <v>-92</v>
      </c>
      <c r="M149" s="2">
        <v>37.632946666666662</v>
      </c>
      <c r="N149" s="2">
        <v>141.01333333333332</v>
      </c>
      <c r="O149" s="4">
        <v>42.596000000000004</v>
      </c>
      <c r="P149" s="5">
        <v>91</v>
      </c>
      <c r="Q149" s="2">
        <f>6378137*ACOS(SIN(RADIANS(H149))*SIN(RADIANS(M149))+COS(RADIANS(H149))*COS(RADIANS(M149))*COS(RADIANS(I149)-RADIANS(N149)))</f>
        <v>5.5605455891810838</v>
      </c>
      <c r="R149" t="s">
        <v>142</v>
      </c>
    </row>
    <row r="150" spans="1:18" x14ac:dyDescent="0.7">
      <c r="A150">
        <v>72.5</v>
      </c>
      <c r="B150" s="3">
        <v>0.47241898148148148</v>
      </c>
      <c r="C150" s="2">
        <v>37.632944999999999</v>
      </c>
      <c r="D150" s="2">
        <v>141.01354666666666</v>
      </c>
      <c r="E150" s="4">
        <v>12.4084</v>
      </c>
      <c r="F150" s="5">
        <v>275.39999999999998</v>
      </c>
      <c r="G150">
        <v>-55</v>
      </c>
      <c r="H150" s="2">
        <v>37.632973333333332</v>
      </c>
      <c r="I150" s="2">
        <v>141.01328000000001</v>
      </c>
      <c r="J150" s="4">
        <v>0</v>
      </c>
      <c r="K150" s="5">
        <v>13.9</v>
      </c>
      <c r="L150">
        <v>-56</v>
      </c>
      <c r="M150" s="2">
        <v>37.632946666666662</v>
      </c>
      <c r="N150" s="2">
        <v>141.01354666666666</v>
      </c>
      <c r="O150" s="4">
        <v>12.4084</v>
      </c>
      <c r="P150" s="5">
        <v>275.39999999999998</v>
      </c>
      <c r="Q150" s="2">
        <f>6378137*ACOS(SIN(RADIANS(H150))*SIN(RADIANS(M150))+COS(RADIANS(H150))*COS(RADIANS(M150))*COS(RADIANS(I150)-RADIANS(N150)))</f>
        <v>23.695695433879063</v>
      </c>
    </row>
    <row r="151" spans="1:18" x14ac:dyDescent="0.7">
      <c r="A151">
        <v>67.5</v>
      </c>
      <c r="B151" s="3">
        <v>0.47243055555555552</v>
      </c>
      <c r="C151" s="2">
        <v>37.632951666666671</v>
      </c>
      <c r="D151" s="2">
        <v>141.01351500000001</v>
      </c>
      <c r="E151" s="4">
        <v>9.4451999999999998</v>
      </c>
      <c r="F151" s="5">
        <v>280.89999999999998</v>
      </c>
      <c r="G151">
        <v>-54</v>
      </c>
      <c r="H151" s="2">
        <v>37.632973333333332</v>
      </c>
      <c r="I151" s="2">
        <v>141.01328000000001</v>
      </c>
      <c r="J151" s="4">
        <v>0</v>
      </c>
      <c r="K151" s="5">
        <v>13.9</v>
      </c>
      <c r="L151">
        <v>-58</v>
      </c>
      <c r="M151" s="2">
        <v>37.632946666666662</v>
      </c>
      <c r="N151" s="2">
        <v>141.01352</v>
      </c>
      <c r="O151" s="4">
        <v>9.4451999999999998</v>
      </c>
      <c r="P151" s="5">
        <v>280.89999999999998</v>
      </c>
      <c r="Q151" s="2">
        <f>6378137*ACOS(SIN(RADIANS(H151))*SIN(RADIANS(M151))+COS(RADIANS(H151))*COS(RADIANS(M151))*COS(RADIANS(I151)-RADIANS(N151)))</f>
        <v>21.365353913416179</v>
      </c>
    </row>
    <row r="152" spans="1:18" x14ac:dyDescent="0.7">
      <c r="A152">
        <v>62.5</v>
      </c>
      <c r="B152" s="3">
        <v>0.49704861111111115</v>
      </c>
      <c r="C152" s="2">
        <v>37.632950000000001</v>
      </c>
      <c r="D152" s="2">
        <v>141.01339999999999</v>
      </c>
      <c r="E152" s="4">
        <v>4.0744000000000007</v>
      </c>
      <c r="F152" s="5">
        <v>182.7</v>
      </c>
      <c r="G152">
        <v>-69</v>
      </c>
      <c r="H152" s="2">
        <v>37.632946666666662</v>
      </c>
      <c r="I152" s="2">
        <v>141.01330666666667</v>
      </c>
      <c r="J152" s="4">
        <v>0</v>
      </c>
      <c r="K152" s="5">
        <v>13.9</v>
      </c>
      <c r="L152">
        <v>-57</v>
      </c>
      <c r="M152" s="2">
        <v>37.632946666666662</v>
      </c>
      <c r="N152" s="2">
        <v>141.01338666666666</v>
      </c>
      <c r="O152" s="4">
        <v>4.0743999999999998</v>
      </c>
      <c r="P152" s="5">
        <v>182.7</v>
      </c>
      <c r="Q152" s="2">
        <f>6378137*ACOS(SIN(RADIANS(H152))*SIN(RADIANS(M152))+COS(RADIANS(H152))*COS(RADIANS(M152))*COS(RADIANS(I152)-RADIANS(N152)))</f>
        <v>7.0536015299966532</v>
      </c>
    </row>
    <row r="153" spans="1:18" x14ac:dyDescent="0.7">
      <c r="A153">
        <v>62.5</v>
      </c>
      <c r="B153" s="3">
        <v>0.49706018518518519</v>
      </c>
      <c r="C153" s="2">
        <v>37.632939999999998</v>
      </c>
      <c r="D153" s="2">
        <v>141.01340166666665</v>
      </c>
      <c r="E153" s="4">
        <v>4.0744000000000007</v>
      </c>
      <c r="F153" s="5">
        <v>181.8</v>
      </c>
      <c r="G153">
        <v>-70</v>
      </c>
      <c r="H153" s="2">
        <v>37.632946666666662</v>
      </c>
      <c r="I153" s="2">
        <v>141.01330666666667</v>
      </c>
      <c r="J153" s="4">
        <v>0</v>
      </c>
      <c r="K153" s="5">
        <v>13.9</v>
      </c>
      <c r="L153">
        <v>-49</v>
      </c>
      <c r="M153" s="2">
        <v>37.632939999999998</v>
      </c>
      <c r="N153" s="2">
        <v>141.01338666666666</v>
      </c>
      <c r="O153" s="4">
        <v>4.0743999999999998</v>
      </c>
      <c r="P153" s="5">
        <v>181.8</v>
      </c>
      <c r="Q153" s="2">
        <f>6378137*ACOS(SIN(RADIANS(H153))*SIN(RADIANS(M153))+COS(RADIANS(H153))*COS(RADIANS(M153))*COS(RADIANS(I153)-RADIANS(N153)))</f>
        <v>7.0919157807694786</v>
      </c>
    </row>
    <row r="154" spans="1:18" x14ac:dyDescent="0.7">
      <c r="A154">
        <v>62.5</v>
      </c>
      <c r="B154" s="3">
        <v>0.49707175925925928</v>
      </c>
      <c r="C154" s="2">
        <v>37.632930000000002</v>
      </c>
      <c r="D154" s="2">
        <v>141.01340333333334</v>
      </c>
      <c r="E154" s="4">
        <v>3.3336000000000001</v>
      </c>
      <c r="F154" s="5">
        <v>177.9</v>
      </c>
      <c r="G154">
        <v>-69</v>
      </c>
      <c r="H154" s="2">
        <v>37.632946666666662</v>
      </c>
      <c r="I154" s="2">
        <v>141.01330666666667</v>
      </c>
      <c r="J154" s="4">
        <v>0</v>
      </c>
      <c r="K154" s="5">
        <v>13.9</v>
      </c>
      <c r="L154">
        <v>-58</v>
      </c>
      <c r="M154" s="2">
        <v>37.632933333333334</v>
      </c>
      <c r="N154" s="2">
        <v>141.01338666666666</v>
      </c>
      <c r="O154" s="4">
        <v>3.3336000000000001</v>
      </c>
      <c r="P154" s="5">
        <v>177.9</v>
      </c>
      <c r="Q154" s="2">
        <f>6378137*ACOS(SIN(RADIANS(H154))*SIN(RADIANS(M154))+COS(RADIANS(H154))*COS(RADIANS(M154))*COS(RADIANS(I154)-RADIANS(N154)))</f>
        <v>7.2081430162853817</v>
      </c>
    </row>
    <row r="155" spans="1:18" x14ac:dyDescent="0.7">
      <c r="A155">
        <v>7.5</v>
      </c>
      <c r="B155" s="3">
        <v>0.49828703703703708</v>
      </c>
      <c r="C155" s="2">
        <v>37.63297166666667</v>
      </c>
      <c r="D155" s="2">
        <v>141.012775</v>
      </c>
      <c r="E155" s="4">
        <v>13.704800000000001</v>
      </c>
      <c r="F155" s="5">
        <v>91.4</v>
      </c>
      <c r="G155">
        <v>-72</v>
      </c>
      <c r="H155" s="2">
        <v>37.632946666666662</v>
      </c>
      <c r="I155" s="2">
        <v>141.01373333333333</v>
      </c>
      <c r="J155" s="4">
        <v>0</v>
      </c>
      <c r="K155" s="5">
        <v>0</v>
      </c>
      <c r="L155">
        <v>-74</v>
      </c>
      <c r="M155" s="2">
        <v>37.632973333333332</v>
      </c>
      <c r="N155" s="2">
        <v>141.01277333333334</v>
      </c>
      <c r="O155" s="4">
        <v>13.704800000000001</v>
      </c>
      <c r="P155" s="5">
        <v>91.4</v>
      </c>
      <c r="Q155" s="2">
        <f>6378137*ACOS(SIN(RADIANS(H155))*SIN(RADIANS(M155))+COS(RADIANS(H155))*COS(RADIANS(M155))*COS(RADIANS(I155)-RADIANS(N155)))</f>
        <v>84.683921315008561</v>
      </c>
      <c r="R155" t="s">
        <v>144</v>
      </c>
    </row>
    <row r="156" spans="1:18" x14ac:dyDescent="0.7">
      <c r="A156">
        <v>7.5</v>
      </c>
      <c r="B156" s="3">
        <v>0.49829861111111112</v>
      </c>
      <c r="C156" s="2">
        <v>37.63297</v>
      </c>
      <c r="D156" s="2">
        <v>141.01281666666668</v>
      </c>
      <c r="E156" s="4">
        <v>13.704800000000001</v>
      </c>
      <c r="F156" s="5">
        <v>90.9</v>
      </c>
      <c r="G156">
        <v>-72</v>
      </c>
      <c r="H156" s="2">
        <v>37.632946666666662</v>
      </c>
      <c r="I156" s="2">
        <v>141.01373333333333</v>
      </c>
      <c r="J156" s="4">
        <v>0</v>
      </c>
      <c r="K156" s="5">
        <v>0</v>
      </c>
      <c r="L156">
        <v>-74</v>
      </c>
      <c r="M156" s="2">
        <v>37.632973333333332</v>
      </c>
      <c r="N156" s="2">
        <v>141.01282666666665</v>
      </c>
      <c r="O156" s="4">
        <v>13.704800000000001</v>
      </c>
      <c r="P156" s="5">
        <v>90.9</v>
      </c>
      <c r="Q156" s="2">
        <f>6378137*ACOS(SIN(RADIANS(H156))*SIN(RADIANS(M156))+COS(RADIANS(H156))*COS(RADIANS(M156))*COS(RADIANS(I156)-RADIANS(N156)))</f>
        <v>79.98521206484989</v>
      </c>
      <c r="R156" t="s">
        <v>144</v>
      </c>
    </row>
    <row r="157" spans="1:18" x14ac:dyDescent="0.7">
      <c r="A157">
        <v>12.5</v>
      </c>
      <c r="B157" s="3">
        <v>0.49831018518518522</v>
      </c>
      <c r="C157" s="2">
        <v>37.63297</v>
      </c>
      <c r="D157" s="2">
        <v>141.01285666666666</v>
      </c>
      <c r="E157" s="4">
        <v>12.964</v>
      </c>
      <c r="F157" s="5">
        <v>90.6</v>
      </c>
      <c r="G157">
        <v>-72</v>
      </c>
      <c r="H157" s="2">
        <v>37.632946666666662</v>
      </c>
      <c r="I157" s="2">
        <v>141.01373333333333</v>
      </c>
      <c r="J157" s="4">
        <v>0</v>
      </c>
      <c r="K157" s="5">
        <v>0</v>
      </c>
      <c r="L157">
        <v>-73</v>
      </c>
      <c r="M157" s="2">
        <v>37.632973333333332</v>
      </c>
      <c r="N157" s="2">
        <v>141.01285333333331</v>
      </c>
      <c r="O157" s="4">
        <v>12.964</v>
      </c>
      <c r="P157" s="5">
        <v>90.6</v>
      </c>
      <c r="Q157" s="2">
        <f>6378137*ACOS(SIN(RADIANS(H157))*SIN(RADIANS(M157))+COS(RADIANS(H157))*COS(RADIANS(M157))*COS(RADIANS(I157)-RADIANS(N157)))</f>
        <v>77.635995993181098</v>
      </c>
      <c r="R157" t="s">
        <v>144</v>
      </c>
    </row>
    <row r="158" spans="1:18" x14ac:dyDescent="0.7">
      <c r="A158">
        <v>17.5</v>
      </c>
      <c r="B158" s="3">
        <v>0.49832175925925926</v>
      </c>
      <c r="C158" s="2">
        <v>37.632968333333331</v>
      </c>
      <c r="D158" s="2">
        <v>141.01289833333334</v>
      </c>
      <c r="E158" s="4">
        <v>12.5936</v>
      </c>
      <c r="F158" s="5">
        <v>90.6</v>
      </c>
      <c r="G158">
        <v>-73</v>
      </c>
      <c r="H158" s="2">
        <v>37.632946666666662</v>
      </c>
      <c r="I158" s="2">
        <v>141.01373333333333</v>
      </c>
      <c r="J158" s="4">
        <v>0</v>
      </c>
      <c r="K158" s="5">
        <v>0</v>
      </c>
      <c r="L158">
        <v>-75</v>
      </c>
      <c r="M158" s="2">
        <v>37.632966666666668</v>
      </c>
      <c r="N158" s="2">
        <v>141.01290666666668</v>
      </c>
      <c r="O158" s="4">
        <v>12.5936</v>
      </c>
      <c r="P158" s="5">
        <v>90.6</v>
      </c>
      <c r="Q158" s="2">
        <f>6378137*ACOS(SIN(RADIANS(H158))*SIN(RADIANS(M158))+COS(RADIANS(H158))*COS(RADIANS(M158))*COS(RADIANS(I158)-RADIANS(N158)))</f>
        <v>72.911378166597132</v>
      </c>
      <c r="R158" t="s">
        <v>144</v>
      </c>
    </row>
    <row r="159" spans="1:18" x14ac:dyDescent="0.7">
      <c r="A159">
        <v>22.5</v>
      </c>
      <c r="B159" s="3">
        <v>0.49833333333333335</v>
      </c>
      <c r="C159" s="2">
        <v>37.632966666666668</v>
      </c>
      <c r="D159" s="2">
        <v>141.01294333333331</v>
      </c>
      <c r="E159" s="4">
        <v>12.778800000000002</v>
      </c>
      <c r="F159" s="5">
        <v>90.7</v>
      </c>
      <c r="G159">
        <v>-73</v>
      </c>
      <c r="H159" s="2">
        <v>37.632946666666662</v>
      </c>
      <c r="I159" s="2">
        <v>141.01373333333333</v>
      </c>
      <c r="J159" s="4">
        <v>0</v>
      </c>
      <c r="K159" s="5">
        <v>0</v>
      </c>
      <c r="L159">
        <v>-69</v>
      </c>
      <c r="M159" s="2">
        <v>37.632966666666668</v>
      </c>
      <c r="N159" s="2">
        <v>141.01293333333334</v>
      </c>
      <c r="O159" s="4">
        <v>12.7788</v>
      </c>
      <c r="P159" s="5">
        <v>90.7</v>
      </c>
      <c r="Q159" s="2">
        <f>6378137*ACOS(SIN(RADIANS(H159))*SIN(RADIANS(M159))+COS(RADIANS(H159))*COS(RADIANS(M159))*COS(RADIANS(I159)-RADIANS(N159)))</f>
        <v>70.561622862176762</v>
      </c>
      <c r="R159" t="s">
        <v>144</v>
      </c>
    </row>
    <row r="160" spans="1:18" x14ac:dyDescent="0.7">
      <c r="A160">
        <v>22.5</v>
      </c>
      <c r="B160" s="3">
        <v>0.49834490740740739</v>
      </c>
      <c r="C160" s="2">
        <v>37.632963333333336</v>
      </c>
      <c r="D160" s="2">
        <v>141.01298499999999</v>
      </c>
      <c r="E160" s="4">
        <v>12.778800000000002</v>
      </c>
      <c r="F160" s="5">
        <v>91</v>
      </c>
      <c r="G160">
        <v>-72</v>
      </c>
      <c r="H160" s="2">
        <v>37.632946666666662</v>
      </c>
      <c r="I160" s="2">
        <v>141.01373333333333</v>
      </c>
      <c r="J160" s="4">
        <v>0</v>
      </c>
      <c r="K160" s="5">
        <v>0</v>
      </c>
      <c r="L160">
        <v>-72</v>
      </c>
      <c r="M160" s="2">
        <v>37.632960000000004</v>
      </c>
      <c r="N160" s="2">
        <v>141.01298666666668</v>
      </c>
      <c r="O160" s="4">
        <v>12.7788</v>
      </c>
      <c r="P160" s="5">
        <v>91</v>
      </c>
      <c r="Q160" s="2">
        <f>6378137*ACOS(SIN(RADIANS(H160))*SIN(RADIANS(M160))+COS(RADIANS(H160))*COS(RADIANS(M160))*COS(RADIANS(I160)-RADIANS(N160)))</f>
        <v>65.841571881765304</v>
      </c>
      <c r="R160" t="s">
        <v>144</v>
      </c>
    </row>
    <row r="161" spans="1:18" x14ac:dyDescent="0.7">
      <c r="A161">
        <v>27.5</v>
      </c>
      <c r="B161" s="3">
        <v>0.49834490740740739</v>
      </c>
      <c r="C161" s="2">
        <v>37.632963333333336</v>
      </c>
      <c r="D161" s="2">
        <v>141.01298499999999</v>
      </c>
      <c r="E161" s="4">
        <v>12.778800000000002</v>
      </c>
      <c r="F161" s="5">
        <v>91</v>
      </c>
      <c r="G161">
        <v>-72</v>
      </c>
      <c r="H161" s="2">
        <v>37.632946666666662</v>
      </c>
      <c r="I161" s="2">
        <v>141.01373333333333</v>
      </c>
      <c r="J161" s="4">
        <v>0</v>
      </c>
      <c r="K161" s="5">
        <v>0</v>
      </c>
      <c r="L161">
        <v>-72</v>
      </c>
      <c r="M161" s="2">
        <v>37.632960000000004</v>
      </c>
      <c r="N161" s="2">
        <v>141.01298666666668</v>
      </c>
      <c r="O161" s="4">
        <v>12.7788</v>
      </c>
      <c r="P161" s="5">
        <v>91</v>
      </c>
      <c r="Q161" s="2">
        <f>6378137*ACOS(SIN(RADIANS(H161))*SIN(RADIANS(M161))+COS(RADIANS(H161))*COS(RADIANS(M161))*COS(RADIANS(I161)-RADIANS(N161)))</f>
        <v>65.841571881765304</v>
      </c>
      <c r="R161" t="s">
        <v>144</v>
      </c>
    </row>
    <row r="162" spans="1:18" x14ac:dyDescent="0.7">
      <c r="A162">
        <v>27.5</v>
      </c>
      <c r="B162" s="3">
        <v>0.49835648148148143</v>
      </c>
      <c r="C162" s="2">
        <v>37.632961666666667</v>
      </c>
      <c r="D162" s="2">
        <v>141.01303000000001</v>
      </c>
      <c r="E162" s="4">
        <v>12.964</v>
      </c>
      <c r="F162" s="5">
        <v>91.4</v>
      </c>
      <c r="G162">
        <v>-73</v>
      </c>
      <c r="H162" s="2">
        <v>37.632946666666662</v>
      </c>
      <c r="I162" s="2">
        <v>141.01375999999999</v>
      </c>
      <c r="J162" s="4">
        <v>0</v>
      </c>
      <c r="K162" s="5">
        <v>0</v>
      </c>
      <c r="L162">
        <v>-67</v>
      </c>
      <c r="M162" s="2">
        <v>37.632960000000004</v>
      </c>
      <c r="N162" s="2">
        <v>141.01301333333333</v>
      </c>
      <c r="O162" s="4">
        <v>12.964</v>
      </c>
      <c r="P162" s="5">
        <v>91.4</v>
      </c>
      <c r="Q162" s="2">
        <f>6378137*ACOS(SIN(RADIANS(H162))*SIN(RADIANS(M162))+COS(RADIANS(H162))*COS(RADIANS(M162))*COS(RADIANS(I162)-RADIANS(N162)))</f>
        <v>65.841571881765304</v>
      </c>
      <c r="R162" t="s">
        <v>144</v>
      </c>
    </row>
    <row r="163" spans="1:18" x14ac:dyDescent="0.7">
      <c r="A163">
        <v>32.5</v>
      </c>
      <c r="B163" s="3">
        <v>0.49836805555555558</v>
      </c>
      <c r="C163" s="2">
        <v>37.632958333333335</v>
      </c>
      <c r="D163" s="2">
        <v>141.01307333333335</v>
      </c>
      <c r="E163" s="4">
        <v>12.964</v>
      </c>
      <c r="F163" s="5">
        <v>91.7</v>
      </c>
      <c r="G163">
        <v>-72</v>
      </c>
      <c r="H163" s="2">
        <v>37.632946666666662</v>
      </c>
      <c r="I163" s="2">
        <v>141.01375999999999</v>
      </c>
      <c r="J163" s="4">
        <v>0</v>
      </c>
      <c r="K163" s="5">
        <v>0</v>
      </c>
      <c r="L163">
        <v>-67</v>
      </c>
      <c r="M163" s="2">
        <v>37.632953333333333</v>
      </c>
      <c r="N163" s="2">
        <v>141.01306666666667</v>
      </c>
      <c r="O163" s="4">
        <v>12.964</v>
      </c>
      <c r="P163" s="5">
        <v>91.7</v>
      </c>
      <c r="Q163" s="2">
        <f>6378137*ACOS(SIN(RADIANS(H163))*SIN(RADIANS(M163))+COS(RADIANS(H163))*COS(RADIANS(M163))*COS(RADIANS(I163)-RADIANS(N163)))</f>
        <v>61.127519083955576</v>
      </c>
      <c r="R163" t="s">
        <v>144</v>
      </c>
    </row>
    <row r="164" spans="1:18" x14ac:dyDescent="0.7">
      <c r="A164">
        <v>37.5</v>
      </c>
      <c r="B164" s="3">
        <v>0.49837962962962962</v>
      </c>
      <c r="C164" s="2">
        <v>37.632956666666672</v>
      </c>
      <c r="D164" s="2">
        <v>141.01311666666666</v>
      </c>
      <c r="E164" s="4">
        <v>13.1492</v>
      </c>
      <c r="F164" s="5">
        <v>91.5</v>
      </c>
      <c r="G164">
        <v>-73</v>
      </c>
      <c r="H164" s="2">
        <v>37.632946666666662</v>
      </c>
      <c r="I164" s="2">
        <v>141.01375999999999</v>
      </c>
      <c r="J164" s="4">
        <v>0</v>
      </c>
      <c r="K164" s="5">
        <v>0</v>
      </c>
      <c r="L164">
        <v>-63</v>
      </c>
      <c r="M164" s="2">
        <v>37.632953333333333</v>
      </c>
      <c r="N164" s="2">
        <v>141.01312000000001</v>
      </c>
      <c r="O164" s="4">
        <v>13.1492</v>
      </c>
      <c r="P164" s="5">
        <v>91.5</v>
      </c>
      <c r="Q164" s="2">
        <f>6378137*ACOS(SIN(RADIANS(H164))*SIN(RADIANS(M164))+COS(RADIANS(H164))*COS(RADIANS(M164))*COS(RADIANS(I164)-RADIANS(N164)))</f>
        <v>56.426170924006087</v>
      </c>
      <c r="R164" t="s">
        <v>144</v>
      </c>
    </row>
    <row r="165" spans="1:18" x14ac:dyDescent="0.7">
      <c r="A165">
        <v>37.5</v>
      </c>
      <c r="B165" s="3">
        <v>0.49839120370370371</v>
      </c>
      <c r="C165" s="2">
        <v>37.632955000000003</v>
      </c>
      <c r="D165" s="2">
        <v>141.01316166666666</v>
      </c>
      <c r="E165" s="4">
        <v>13.1492</v>
      </c>
      <c r="F165" s="5">
        <v>91.2</v>
      </c>
      <c r="G165">
        <v>-76</v>
      </c>
      <c r="H165" s="2">
        <v>37.632946666666662</v>
      </c>
      <c r="I165" s="2">
        <v>141.01375999999999</v>
      </c>
      <c r="J165" s="4">
        <v>0</v>
      </c>
      <c r="K165" s="5">
        <v>0</v>
      </c>
      <c r="L165">
        <v>-62</v>
      </c>
      <c r="M165" s="2">
        <v>37.632953333333333</v>
      </c>
      <c r="N165" s="2">
        <v>141.01314666666667</v>
      </c>
      <c r="O165" s="4">
        <v>13.1492</v>
      </c>
      <c r="P165" s="5">
        <v>91.2</v>
      </c>
      <c r="Q165" s="2">
        <f>6378137*ACOS(SIN(RADIANS(H165))*SIN(RADIANS(M165))+COS(RADIANS(H165))*COS(RADIANS(M165))*COS(RADIANS(I165)-RADIANS(N165)))</f>
        <v>54.075440220287085</v>
      </c>
      <c r="R165" t="s">
        <v>144</v>
      </c>
    </row>
    <row r="166" spans="1:18" x14ac:dyDescent="0.7">
      <c r="A166">
        <v>42.5</v>
      </c>
      <c r="B166" s="3">
        <v>0.49839120370370371</v>
      </c>
      <c r="C166" s="2">
        <v>37.632955000000003</v>
      </c>
      <c r="D166" s="2">
        <v>141.01316166666666</v>
      </c>
      <c r="E166" s="4">
        <v>13.1492</v>
      </c>
      <c r="F166" s="5">
        <v>91.2</v>
      </c>
      <c r="G166">
        <v>-76</v>
      </c>
      <c r="H166" s="2">
        <v>37.632946666666662</v>
      </c>
      <c r="I166" s="2">
        <v>141.01375999999999</v>
      </c>
      <c r="J166" s="4">
        <v>0</v>
      </c>
      <c r="K166" s="5">
        <v>0</v>
      </c>
      <c r="L166">
        <v>-62</v>
      </c>
      <c r="M166" s="2">
        <v>37.632953333333333</v>
      </c>
      <c r="N166" s="2">
        <v>141.01314666666667</v>
      </c>
      <c r="O166" s="4">
        <v>13.1492</v>
      </c>
      <c r="P166" s="5">
        <v>91.2</v>
      </c>
      <c r="Q166" s="2">
        <f>6378137*ACOS(SIN(RADIANS(H166))*SIN(RADIANS(M166))+COS(RADIANS(H166))*COS(RADIANS(M166))*COS(RADIANS(I166)-RADIANS(N166)))</f>
        <v>54.075440220287085</v>
      </c>
      <c r="R166" t="s">
        <v>144</v>
      </c>
    </row>
    <row r="167" spans="1:18" x14ac:dyDescent="0.7">
      <c r="A167">
        <v>62.5</v>
      </c>
      <c r="B167" s="3">
        <v>0.49846064814814817</v>
      </c>
      <c r="C167" s="2">
        <v>37.632950000000001</v>
      </c>
      <c r="D167" s="2">
        <v>141.01340333333334</v>
      </c>
      <c r="E167" s="4">
        <v>12.4084</v>
      </c>
      <c r="F167" s="5">
        <v>89.6</v>
      </c>
      <c r="G167">
        <v>-70</v>
      </c>
      <c r="H167" s="2">
        <v>37.632953333333333</v>
      </c>
      <c r="I167" s="2">
        <v>141.01330666666667</v>
      </c>
      <c r="J167" s="4">
        <v>0</v>
      </c>
      <c r="K167" s="5">
        <v>13.9</v>
      </c>
      <c r="L167">
        <v>-86</v>
      </c>
      <c r="M167" s="2">
        <v>37.632946666666662</v>
      </c>
      <c r="N167" s="2">
        <v>141.01338666666666</v>
      </c>
      <c r="O167" s="4">
        <v>12.4084</v>
      </c>
      <c r="P167" s="5">
        <v>89.6</v>
      </c>
      <c r="Q167" s="2">
        <f>6378137*ACOS(SIN(RADIANS(H167))*SIN(RADIANS(M167))+COS(RADIANS(H167))*COS(RADIANS(M167))*COS(RADIANS(I167)-RADIANS(N167)))</f>
        <v>7.0919157807694786</v>
      </c>
      <c r="R167" t="s">
        <v>144</v>
      </c>
    </row>
    <row r="168" spans="1:18" x14ac:dyDescent="0.7">
      <c r="A168">
        <v>62.5</v>
      </c>
      <c r="B168" s="3">
        <v>0.49847222222222221</v>
      </c>
      <c r="C168" s="2">
        <v>37.632948333333339</v>
      </c>
      <c r="D168" s="2">
        <v>141.01344166666667</v>
      </c>
      <c r="E168" s="4">
        <v>12.4084</v>
      </c>
      <c r="F168" s="5">
        <v>90.1</v>
      </c>
      <c r="G168">
        <v>-70</v>
      </c>
      <c r="H168" s="2">
        <v>37.632953333333333</v>
      </c>
      <c r="I168" s="2">
        <v>141.01330666666667</v>
      </c>
      <c r="J168" s="4">
        <v>0</v>
      </c>
      <c r="K168" s="5">
        <v>13.9</v>
      </c>
      <c r="L168">
        <v>-83</v>
      </c>
      <c r="M168" s="2">
        <v>37.632946666666662</v>
      </c>
      <c r="N168" s="2">
        <v>141.01344</v>
      </c>
      <c r="O168" s="4">
        <v>12.4084</v>
      </c>
      <c r="P168" s="5">
        <v>90.1</v>
      </c>
      <c r="Q168" s="2">
        <f>6378137*ACOS(SIN(RADIANS(H168))*SIN(RADIANS(M168))+COS(RADIANS(H168))*COS(RADIANS(M168))*COS(RADIANS(I168)-RADIANS(N168)))</f>
        <v>11.777880629552641</v>
      </c>
      <c r="R168" t="s">
        <v>144</v>
      </c>
    </row>
    <row r="169" spans="1:18" x14ac:dyDescent="0.7">
      <c r="A169">
        <v>67.5</v>
      </c>
      <c r="B169" s="3">
        <v>0.49847222222222221</v>
      </c>
      <c r="C169" s="2">
        <v>37.632948333333339</v>
      </c>
      <c r="D169" s="2">
        <v>141.01344166666667</v>
      </c>
      <c r="E169" s="4">
        <v>12.4084</v>
      </c>
      <c r="F169" s="5">
        <v>90.1</v>
      </c>
      <c r="G169">
        <v>-70</v>
      </c>
      <c r="H169" s="2">
        <v>37.632953333333333</v>
      </c>
      <c r="I169" s="2">
        <v>141.01330666666667</v>
      </c>
      <c r="J169" s="4">
        <v>0</v>
      </c>
      <c r="K169" s="5">
        <v>13.9</v>
      </c>
      <c r="L169">
        <v>-83</v>
      </c>
      <c r="M169" s="2">
        <v>37.632946666666662</v>
      </c>
      <c r="N169" s="2">
        <v>141.01344</v>
      </c>
      <c r="O169" s="4">
        <v>12.4084</v>
      </c>
      <c r="P169" s="5">
        <v>90.1</v>
      </c>
      <c r="Q169" s="2">
        <f>6378137*ACOS(SIN(RADIANS(H169))*SIN(RADIANS(M169))+COS(RADIANS(H169))*COS(RADIANS(M169))*COS(RADIANS(I169)-RADIANS(N169)))</f>
        <v>11.777880629552641</v>
      </c>
      <c r="R169" t="s">
        <v>144</v>
      </c>
    </row>
    <row r="170" spans="1:18" x14ac:dyDescent="0.7">
      <c r="A170">
        <v>67.5</v>
      </c>
      <c r="B170" s="3">
        <v>0.4984837962962963</v>
      </c>
      <c r="C170" s="2">
        <v>37.632946666666662</v>
      </c>
      <c r="D170" s="2">
        <v>141.01348166666668</v>
      </c>
      <c r="E170" s="4">
        <v>12.4084</v>
      </c>
      <c r="F170" s="5">
        <v>90.9</v>
      </c>
      <c r="G170">
        <v>-70</v>
      </c>
      <c r="H170" s="2">
        <v>37.632953333333333</v>
      </c>
      <c r="I170" s="2">
        <v>141.01330666666667</v>
      </c>
      <c r="J170" s="4">
        <v>0</v>
      </c>
      <c r="K170" s="5">
        <v>13.9</v>
      </c>
      <c r="L170">
        <v>-91</v>
      </c>
      <c r="M170" s="2">
        <v>37.632946666666662</v>
      </c>
      <c r="N170" s="2">
        <v>141.01349333333334</v>
      </c>
      <c r="O170" s="4">
        <v>12.4084</v>
      </c>
      <c r="P170" s="5">
        <v>90.9</v>
      </c>
      <c r="Q170" s="2">
        <f>6378137*ACOS(SIN(RADIANS(H170))*SIN(RADIANS(M170))+COS(RADIANS(H170))*COS(RADIANS(M170))*COS(RADIANS(I170)-RADIANS(N170)))</f>
        <v>16.47294122418981</v>
      </c>
      <c r="R170" t="s">
        <v>144</v>
      </c>
    </row>
    <row r="171" spans="1:18" x14ac:dyDescent="0.7">
      <c r="A171">
        <v>67.5</v>
      </c>
      <c r="B171" s="3">
        <v>0.49849537037037034</v>
      </c>
      <c r="C171" s="2">
        <v>37.632944999999999</v>
      </c>
      <c r="D171" s="2">
        <v>141.01352166666666</v>
      </c>
      <c r="E171" s="4">
        <v>12.4084</v>
      </c>
      <c r="F171" s="5">
        <v>91.3</v>
      </c>
      <c r="G171">
        <v>-70</v>
      </c>
      <c r="H171" s="2">
        <v>37.632953333333333</v>
      </c>
      <c r="I171" s="2">
        <v>141.01330666666667</v>
      </c>
      <c r="J171" s="4">
        <v>0</v>
      </c>
      <c r="K171" s="5">
        <v>13.9</v>
      </c>
      <c r="L171">
        <v>-95</v>
      </c>
      <c r="M171" s="2">
        <v>37.632946666666662</v>
      </c>
      <c r="N171" s="2">
        <v>141.01352</v>
      </c>
      <c r="O171" s="4">
        <v>12.4084</v>
      </c>
      <c r="P171" s="5">
        <v>91.3</v>
      </c>
      <c r="Q171" s="2">
        <f>6378137*ACOS(SIN(RADIANS(H171))*SIN(RADIANS(M171))+COS(RADIANS(H171))*COS(RADIANS(M171))*COS(RADIANS(I171)-RADIANS(N171)))</f>
        <v>18.821845933244283</v>
      </c>
      <c r="R171" t="s">
        <v>144</v>
      </c>
    </row>
    <row r="172" spans="1:18" x14ac:dyDescent="0.7">
      <c r="A172">
        <v>72.5</v>
      </c>
      <c r="B172" s="3">
        <v>0.49849537037037034</v>
      </c>
      <c r="C172" s="2">
        <v>37.632944999999999</v>
      </c>
      <c r="D172" s="2">
        <v>141.01352166666666</v>
      </c>
      <c r="E172" s="4">
        <v>12.4084</v>
      </c>
      <c r="F172" s="5">
        <v>91.3</v>
      </c>
      <c r="G172">
        <v>-70</v>
      </c>
      <c r="H172" s="2">
        <v>37.632953333333333</v>
      </c>
      <c r="I172" s="2">
        <v>141.01330666666667</v>
      </c>
      <c r="J172" s="4">
        <v>0</v>
      </c>
      <c r="K172" s="5">
        <v>13.9</v>
      </c>
      <c r="L172">
        <v>-95</v>
      </c>
      <c r="M172" s="2">
        <v>37.632946666666662</v>
      </c>
      <c r="N172" s="2">
        <v>141.01352</v>
      </c>
      <c r="O172" s="4">
        <v>12.4084</v>
      </c>
      <c r="P172" s="5">
        <v>91.3</v>
      </c>
      <c r="Q172" s="2">
        <f>6378137*ACOS(SIN(RADIANS(H172))*SIN(RADIANS(M172))+COS(RADIANS(H172))*COS(RADIANS(M172))*COS(RADIANS(I172)-RADIANS(N172)))</f>
        <v>18.821845933244283</v>
      </c>
      <c r="R172" t="s">
        <v>144</v>
      </c>
    </row>
    <row r="173" spans="1:18" x14ac:dyDescent="0.7">
      <c r="A173">
        <v>72.5</v>
      </c>
      <c r="B173" s="3">
        <v>0.49850694444444449</v>
      </c>
      <c r="C173" s="2">
        <v>37.632944999999999</v>
      </c>
      <c r="D173" s="2">
        <v>141.013565</v>
      </c>
      <c r="E173" s="4">
        <v>12.4084</v>
      </c>
      <c r="F173" s="5">
        <v>91.5</v>
      </c>
      <c r="G173">
        <v>-70</v>
      </c>
      <c r="H173" s="2">
        <v>37.632953333333333</v>
      </c>
      <c r="I173" s="2">
        <v>141.01328000000001</v>
      </c>
      <c r="J173" s="4">
        <v>0</v>
      </c>
      <c r="K173" s="5">
        <v>13.9</v>
      </c>
      <c r="L173">
        <v>-87</v>
      </c>
      <c r="M173" s="2">
        <v>37.632946666666662</v>
      </c>
      <c r="N173" s="2">
        <v>141.01357333333331</v>
      </c>
      <c r="O173" s="4">
        <v>12.4084</v>
      </c>
      <c r="P173" s="5">
        <v>91.5</v>
      </c>
      <c r="Q173" s="2">
        <f>6378137*ACOS(SIN(RADIANS(H173))*SIN(RADIANS(M173))+COS(RADIANS(H173))*COS(RADIANS(M173))*COS(RADIANS(I173)-RADIANS(N173)))</f>
        <v>25.870364396652924</v>
      </c>
      <c r="R173" t="s">
        <v>144</v>
      </c>
    </row>
    <row r="174" spans="1:18" x14ac:dyDescent="0.7">
      <c r="A174">
        <v>77.5</v>
      </c>
      <c r="B174" s="3">
        <v>0.49909722222222225</v>
      </c>
      <c r="C174" s="2">
        <v>37.632906666666671</v>
      </c>
      <c r="D174" s="2">
        <v>141.01357833333336</v>
      </c>
      <c r="E174" s="4">
        <v>21.853600000000004</v>
      </c>
      <c r="F174" s="5">
        <v>270.8</v>
      </c>
      <c r="G174">
        <v>-71</v>
      </c>
      <c r="H174" s="2">
        <v>37.632939999999998</v>
      </c>
      <c r="I174" s="2">
        <v>141.01373333333333</v>
      </c>
      <c r="J174" s="4">
        <v>0</v>
      </c>
      <c r="K174" s="5">
        <v>0</v>
      </c>
      <c r="L174">
        <v>-79</v>
      </c>
      <c r="M174" s="2">
        <v>37.632906666666671</v>
      </c>
      <c r="N174" s="2">
        <v>141.01357333333331</v>
      </c>
      <c r="O174" s="4">
        <v>21.8536</v>
      </c>
      <c r="P174" s="5">
        <v>270.8</v>
      </c>
      <c r="Q174" s="2">
        <f>6378137*ACOS(SIN(RADIANS(H174))*SIN(RADIANS(M174))+COS(RADIANS(H174))*COS(RADIANS(M174))*COS(RADIANS(I174)-RADIANS(N174)))</f>
        <v>14.585100027722314</v>
      </c>
    </row>
    <row r="175" spans="1:18" x14ac:dyDescent="0.7">
      <c r="A175">
        <v>12.5</v>
      </c>
      <c r="B175" s="3">
        <v>0.50049768518518511</v>
      </c>
      <c r="C175" s="2">
        <v>37.632981666666666</v>
      </c>
      <c r="D175" s="2">
        <v>141.01283333333333</v>
      </c>
      <c r="E175" s="4">
        <v>22.038800000000002</v>
      </c>
      <c r="F175" s="5">
        <v>90.4</v>
      </c>
      <c r="G175">
        <v>-74</v>
      </c>
      <c r="H175" s="2">
        <v>37.632933333333334</v>
      </c>
      <c r="I175" s="2">
        <v>141.01373333333333</v>
      </c>
      <c r="J175" s="4">
        <v>0</v>
      </c>
      <c r="K175" s="5">
        <v>0</v>
      </c>
      <c r="L175">
        <v>-67</v>
      </c>
      <c r="M175" s="2">
        <v>37.632979999999996</v>
      </c>
      <c r="N175" s="2">
        <v>141.01282666666665</v>
      </c>
      <c r="O175" s="4">
        <v>22.038800000000002</v>
      </c>
      <c r="P175" s="5">
        <v>90.4</v>
      </c>
      <c r="Q175" s="2">
        <f>6378137*ACOS(SIN(RADIANS(H175))*SIN(RADIANS(M175))+COS(RADIANS(H175))*COS(RADIANS(M175))*COS(RADIANS(I175)-RADIANS(N175)))</f>
        <v>80.098741397476402</v>
      </c>
      <c r="R175" t="s">
        <v>146</v>
      </c>
    </row>
    <row r="176" spans="1:18" x14ac:dyDescent="0.7">
      <c r="A176">
        <v>17.5</v>
      </c>
      <c r="B176" s="3">
        <v>0.50050925925925926</v>
      </c>
      <c r="C176" s="2">
        <v>37.632981666666666</v>
      </c>
      <c r="D176" s="2">
        <v>141.01289666666668</v>
      </c>
      <c r="E176" s="4">
        <v>22.409200000000002</v>
      </c>
      <c r="F176" s="5">
        <v>90.5</v>
      </c>
      <c r="G176">
        <v>-75</v>
      </c>
      <c r="H176" s="2">
        <v>37.632933333333334</v>
      </c>
      <c r="I176" s="2">
        <v>141.01373333333333</v>
      </c>
      <c r="J176" s="4">
        <v>0</v>
      </c>
      <c r="K176" s="5">
        <v>0</v>
      </c>
      <c r="L176">
        <v>-65</v>
      </c>
      <c r="M176" s="2">
        <v>37.632979999999996</v>
      </c>
      <c r="N176" s="2">
        <v>141.01290666666668</v>
      </c>
      <c r="O176" s="4">
        <v>22.409200000000002</v>
      </c>
      <c r="P176" s="5">
        <v>90.5</v>
      </c>
      <c r="Q176" s="2">
        <f>6378137*ACOS(SIN(RADIANS(H176))*SIN(RADIANS(M176))+COS(RADIANS(H176))*COS(RADIANS(M176))*COS(RADIANS(I176)-RADIANS(N176)))</f>
        <v>73.062366359272701</v>
      </c>
      <c r="R176" t="s">
        <v>146</v>
      </c>
    </row>
    <row r="177" spans="1:18" x14ac:dyDescent="0.7">
      <c r="A177">
        <v>37.5</v>
      </c>
      <c r="B177" s="3">
        <v>0.50053240740740745</v>
      </c>
      <c r="C177" s="2">
        <v>37.632975000000002</v>
      </c>
      <c r="D177" s="2">
        <v>141.01311333333334</v>
      </c>
      <c r="E177" s="4">
        <v>23.520399999999999</v>
      </c>
      <c r="F177" s="5">
        <v>90.9</v>
      </c>
      <c r="G177">
        <v>-70</v>
      </c>
      <c r="H177" s="2">
        <v>37.632953333333333</v>
      </c>
      <c r="I177" s="2">
        <v>141.01285333333331</v>
      </c>
      <c r="J177" s="4">
        <v>0</v>
      </c>
      <c r="K177" s="5">
        <v>0</v>
      </c>
      <c r="L177">
        <v>-89</v>
      </c>
      <c r="M177" s="2">
        <v>37.632973333333332</v>
      </c>
      <c r="N177" s="2">
        <v>141.01328000000001</v>
      </c>
      <c r="O177" s="4">
        <v>22.409200000000002</v>
      </c>
      <c r="P177" s="5">
        <v>90.6</v>
      </c>
      <c r="Q177" s="2">
        <f>6378137*ACOS(SIN(RADIANS(H177))*SIN(RADIANS(M177))+COS(RADIANS(H177))*COS(RADIANS(M177))*COS(RADIANS(I177)-RADIANS(N177)))</f>
        <v>37.679908142531694</v>
      </c>
      <c r="R177" t="s">
        <v>146</v>
      </c>
    </row>
    <row r="178" spans="1:18" x14ac:dyDescent="0.7">
      <c r="A178">
        <v>57.5</v>
      </c>
      <c r="B178" s="3">
        <v>0.50056712962962957</v>
      </c>
      <c r="C178" s="2">
        <v>37.632973333333332</v>
      </c>
      <c r="D178" s="2">
        <v>141.01335666666668</v>
      </c>
      <c r="E178" s="4">
        <v>23.150000000000002</v>
      </c>
      <c r="F178" s="5">
        <v>90.6</v>
      </c>
      <c r="G178">
        <v>-70</v>
      </c>
      <c r="H178" s="2">
        <v>37.632946666666662</v>
      </c>
      <c r="I178" s="2">
        <v>141.01285333333331</v>
      </c>
      <c r="J178" s="4">
        <v>0</v>
      </c>
      <c r="K178" s="5">
        <v>0</v>
      </c>
      <c r="L178">
        <v>-84</v>
      </c>
      <c r="M178" s="2">
        <v>37.632973333333332</v>
      </c>
      <c r="N178" s="2">
        <v>141.01336000000001</v>
      </c>
      <c r="O178" s="4">
        <v>23.150000000000002</v>
      </c>
      <c r="P178" s="5">
        <v>90.6</v>
      </c>
      <c r="Q178" s="2">
        <f>6378137*ACOS(SIN(RADIANS(H178))*SIN(RADIANS(M178))+COS(RADIANS(H178))*COS(RADIANS(M178))*COS(RADIANS(I178)-RADIANS(N178)))</f>
        <v>44.765423137408725</v>
      </c>
      <c r="R178" t="s">
        <v>146</v>
      </c>
    </row>
    <row r="179" spans="1:18" x14ac:dyDescent="0.7">
      <c r="A179">
        <v>77.5</v>
      </c>
      <c r="B179" s="3">
        <v>0.50313657407407408</v>
      </c>
      <c r="C179" s="2">
        <v>37.632915000000004</v>
      </c>
      <c r="D179" s="2">
        <v>141.01362666666668</v>
      </c>
      <c r="E179" s="4">
        <v>15.556800000000001</v>
      </c>
      <c r="F179" s="5">
        <v>272.2</v>
      </c>
      <c r="G179">
        <v>-78</v>
      </c>
      <c r="H179" s="2">
        <v>37.632946666666662</v>
      </c>
      <c r="I179" s="2">
        <v>141.01375999999999</v>
      </c>
      <c r="J179" s="4">
        <v>0</v>
      </c>
      <c r="K179" s="5">
        <v>0</v>
      </c>
      <c r="L179">
        <v>-69</v>
      </c>
      <c r="M179" s="2">
        <v>37.632913333333335</v>
      </c>
      <c r="N179" s="2">
        <v>141.01362666666668</v>
      </c>
      <c r="O179" s="4">
        <v>15.556800000000001</v>
      </c>
      <c r="P179" s="5">
        <v>272.2</v>
      </c>
      <c r="Q179" s="2">
        <f>6378137*ACOS(SIN(RADIANS(H179))*SIN(RADIANS(M179))+COS(RADIANS(H179))*COS(RADIANS(M179))*COS(RADIANS(I179)-RADIANS(N179)))</f>
        <v>12.326135907835784</v>
      </c>
    </row>
    <row r="180" spans="1:18" x14ac:dyDescent="0.7">
      <c r="A180">
        <v>77.5</v>
      </c>
      <c r="B180" s="3">
        <v>0.50314814814814812</v>
      </c>
      <c r="C180" s="2">
        <v>37.632916666666667</v>
      </c>
      <c r="D180" s="2">
        <v>141.01358333333334</v>
      </c>
      <c r="E180" s="4">
        <v>15.186399999999999</v>
      </c>
      <c r="F180" s="5">
        <v>272</v>
      </c>
      <c r="G180">
        <v>-76</v>
      </c>
      <c r="H180" s="2">
        <v>37.632946666666662</v>
      </c>
      <c r="I180" s="2">
        <v>141.01375999999999</v>
      </c>
      <c r="J180" s="4">
        <v>0</v>
      </c>
      <c r="K180" s="5">
        <v>0</v>
      </c>
      <c r="L180">
        <v>-68</v>
      </c>
      <c r="M180" s="2">
        <v>37.632919999999999</v>
      </c>
      <c r="N180" s="2">
        <v>141.01357333333331</v>
      </c>
      <c r="O180" s="4">
        <v>15.186400000000001</v>
      </c>
      <c r="P180" s="5">
        <v>272</v>
      </c>
      <c r="Q180" s="2">
        <f>6378137*ACOS(SIN(RADIANS(H180))*SIN(RADIANS(M180))+COS(RADIANS(H180))*COS(RADIANS(M180))*COS(RADIANS(I180)-RADIANS(N180)))</f>
        <v>16.721929002881904</v>
      </c>
    </row>
    <row r="181" spans="1:18" x14ac:dyDescent="0.7">
      <c r="A181">
        <v>72.5</v>
      </c>
      <c r="B181" s="3">
        <v>0.50315972222222227</v>
      </c>
      <c r="C181" s="2">
        <v>37.632916666666667</v>
      </c>
      <c r="D181" s="2">
        <v>141.01353666666668</v>
      </c>
      <c r="E181" s="4">
        <v>13.89</v>
      </c>
      <c r="F181" s="5">
        <v>271.8</v>
      </c>
      <c r="G181">
        <v>-74</v>
      </c>
      <c r="H181" s="2">
        <v>37.632946666666662</v>
      </c>
      <c r="I181" s="2">
        <v>141.01375999999999</v>
      </c>
      <c r="J181" s="4">
        <v>0</v>
      </c>
      <c r="K181" s="5">
        <v>0</v>
      </c>
      <c r="L181">
        <v>-75</v>
      </c>
      <c r="M181" s="2">
        <v>37.632919999999999</v>
      </c>
      <c r="N181" s="2">
        <v>141.01354666666666</v>
      </c>
      <c r="O181" s="4">
        <v>13.89</v>
      </c>
      <c r="P181" s="5">
        <v>271.8</v>
      </c>
      <c r="Q181" s="2">
        <f>6378137*ACOS(SIN(RADIANS(H181))*SIN(RADIANS(M181))+COS(RADIANS(H181))*COS(RADIANS(M181))*COS(RADIANS(I181)-RADIANS(N181)))</f>
        <v>19.040141841103623</v>
      </c>
    </row>
    <row r="182" spans="1:18" x14ac:dyDescent="0.7">
      <c r="A182">
        <v>2.5</v>
      </c>
      <c r="B182" s="3">
        <v>0.50657407407407407</v>
      </c>
      <c r="C182" s="2">
        <v>37.632961666666667</v>
      </c>
      <c r="D182" s="2">
        <v>141.01273</v>
      </c>
      <c r="E182" s="4">
        <v>12.2232</v>
      </c>
      <c r="F182" s="5">
        <v>91.6</v>
      </c>
      <c r="G182">
        <v>-75</v>
      </c>
      <c r="H182" s="2">
        <v>37.632933333333334</v>
      </c>
      <c r="I182" s="2">
        <v>141.01373333333333</v>
      </c>
      <c r="J182" s="4">
        <v>0</v>
      </c>
      <c r="K182" s="5">
        <v>0</v>
      </c>
      <c r="L182">
        <v>-74</v>
      </c>
      <c r="M182" s="2">
        <v>37.632960000000004</v>
      </c>
      <c r="N182" s="2">
        <v>141.01274666666669</v>
      </c>
      <c r="O182" s="4">
        <v>12.2232</v>
      </c>
      <c r="P182" s="5">
        <v>91.6</v>
      </c>
      <c r="Q182" s="2">
        <f>6378137*ACOS(SIN(RADIANS(H182))*SIN(RADIANS(M182))+COS(RADIANS(H182))*COS(RADIANS(M182))*COS(RADIANS(I182)-RADIANS(N182)))</f>
        <v>87.033347641734537</v>
      </c>
      <c r="R182" t="s">
        <v>148</v>
      </c>
    </row>
    <row r="183" spans="1:18" x14ac:dyDescent="0.7">
      <c r="A183">
        <v>2.5</v>
      </c>
      <c r="B183" s="3">
        <v>0.50658564814814822</v>
      </c>
      <c r="C183" s="2">
        <v>37.632960000000004</v>
      </c>
      <c r="D183" s="2">
        <v>141.012775</v>
      </c>
      <c r="E183" s="4">
        <v>14.075200000000001</v>
      </c>
      <c r="F183" s="5">
        <v>91.2</v>
      </c>
      <c r="G183">
        <v>-75</v>
      </c>
      <c r="H183" s="2">
        <v>37.632933333333334</v>
      </c>
      <c r="I183" s="2">
        <v>141.01373333333333</v>
      </c>
      <c r="J183" s="4">
        <v>0</v>
      </c>
      <c r="K183" s="5">
        <v>0</v>
      </c>
      <c r="L183">
        <v>-74</v>
      </c>
      <c r="M183" s="2">
        <v>37.632960000000004</v>
      </c>
      <c r="N183" s="2">
        <v>141.01277333333334</v>
      </c>
      <c r="O183" s="4">
        <v>14.075200000000001</v>
      </c>
      <c r="P183" s="5">
        <v>91.2</v>
      </c>
      <c r="Q183" s="2">
        <f>6378137*ACOS(SIN(RADIANS(H183))*SIN(RADIANS(M183))+COS(RADIANS(H183))*COS(RADIANS(M183))*COS(RADIANS(I183)-RADIANS(N183)))</f>
        <v>84.68397464884842</v>
      </c>
      <c r="R183" t="s">
        <v>148</v>
      </c>
    </row>
    <row r="184" spans="1:18" x14ac:dyDescent="0.7">
      <c r="A184">
        <v>7.5</v>
      </c>
      <c r="B184" s="3">
        <v>0.50658564814814822</v>
      </c>
      <c r="C184" s="2">
        <v>37.632960000000004</v>
      </c>
      <c r="D184" s="2">
        <v>141.012775</v>
      </c>
      <c r="E184" s="4">
        <v>14.075200000000001</v>
      </c>
      <c r="F184" s="5">
        <v>91.2</v>
      </c>
      <c r="G184">
        <v>-75</v>
      </c>
      <c r="H184" s="2">
        <v>37.632933333333334</v>
      </c>
      <c r="I184" s="2">
        <v>141.01373333333333</v>
      </c>
      <c r="J184" s="4">
        <v>0</v>
      </c>
      <c r="K184" s="5">
        <v>0</v>
      </c>
      <c r="L184">
        <v>-74</v>
      </c>
      <c r="M184" s="2">
        <v>37.632960000000004</v>
      </c>
      <c r="N184" s="2">
        <v>141.01277333333334</v>
      </c>
      <c r="O184" s="4">
        <v>14.075200000000001</v>
      </c>
      <c r="P184" s="5">
        <v>91.2</v>
      </c>
      <c r="Q184" s="2">
        <f>6378137*ACOS(SIN(RADIANS(H184))*SIN(RADIANS(M184))+COS(RADIANS(H184))*COS(RADIANS(M184))*COS(RADIANS(I184)-RADIANS(N184)))</f>
        <v>84.68397464884842</v>
      </c>
      <c r="R184" t="s">
        <v>148</v>
      </c>
    </row>
    <row r="185" spans="1:18" x14ac:dyDescent="0.7">
      <c r="A185">
        <v>7.5</v>
      </c>
      <c r="B185" s="3">
        <v>0.50659722222222225</v>
      </c>
      <c r="C185" s="2">
        <v>37.632958333333335</v>
      </c>
      <c r="D185" s="2">
        <v>141.01282499999999</v>
      </c>
      <c r="E185" s="4">
        <v>15.186399999999999</v>
      </c>
      <c r="F185" s="5">
        <v>91.6</v>
      </c>
      <c r="G185">
        <v>-75</v>
      </c>
      <c r="H185" s="2">
        <v>37.632933333333334</v>
      </c>
      <c r="I185" s="2">
        <v>141.01373333333333</v>
      </c>
      <c r="J185" s="4">
        <v>0</v>
      </c>
      <c r="K185" s="5">
        <v>0</v>
      </c>
      <c r="L185">
        <v>-74</v>
      </c>
      <c r="M185" s="2">
        <v>37.632953333333333</v>
      </c>
      <c r="N185" s="2">
        <v>141.01282666666665</v>
      </c>
      <c r="O185" s="4">
        <v>15.186400000000001</v>
      </c>
      <c r="P185" s="5">
        <v>91.6</v>
      </c>
      <c r="Q185" s="2">
        <f>6378137*ACOS(SIN(RADIANS(H185))*SIN(RADIANS(M185))+COS(RADIANS(H185))*COS(RADIANS(M185))*COS(RADIANS(I185)-RADIANS(N185)))</f>
        <v>79.961040897845692</v>
      </c>
      <c r="R185" t="s">
        <v>148</v>
      </c>
    </row>
    <row r="186" spans="1:18" x14ac:dyDescent="0.7">
      <c r="A186">
        <v>12.5</v>
      </c>
      <c r="B186" s="3">
        <v>0.50660879629629629</v>
      </c>
      <c r="C186" s="2">
        <v>37.632958333333335</v>
      </c>
      <c r="D186" s="2">
        <v>141.01287333333332</v>
      </c>
      <c r="E186" s="4">
        <v>15.742000000000001</v>
      </c>
      <c r="F186" s="5">
        <v>91.4</v>
      </c>
      <c r="G186">
        <v>-75</v>
      </c>
      <c r="H186" s="2">
        <v>37.632933333333334</v>
      </c>
      <c r="I186" s="2">
        <v>141.01373333333333</v>
      </c>
      <c r="J186" s="4">
        <v>0</v>
      </c>
      <c r="K186" s="5">
        <v>0</v>
      </c>
      <c r="L186">
        <v>-73</v>
      </c>
      <c r="M186" s="2">
        <v>37.632953333333333</v>
      </c>
      <c r="N186" s="2">
        <v>141.01285333333331</v>
      </c>
      <c r="O186" s="4">
        <v>15.742000000000001</v>
      </c>
      <c r="P186" s="5">
        <v>91.4</v>
      </c>
      <c r="Q186" s="2">
        <f>6378137*ACOS(SIN(RADIANS(H186))*SIN(RADIANS(M186))+COS(RADIANS(H186))*COS(RADIANS(M186))*COS(RADIANS(I186)-RADIANS(N186)))</f>
        <v>77.611151384303099</v>
      </c>
      <c r="R186" t="s">
        <v>148</v>
      </c>
    </row>
    <row r="187" spans="1:18" x14ac:dyDescent="0.7">
      <c r="A187">
        <v>17.5</v>
      </c>
      <c r="B187" s="3">
        <v>0.50660879629629629</v>
      </c>
      <c r="C187" s="2">
        <v>37.632958333333335</v>
      </c>
      <c r="D187" s="2">
        <v>141.01287333333332</v>
      </c>
      <c r="E187" s="4">
        <v>15.742000000000001</v>
      </c>
      <c r="F187" s="5">
        <v>91.4</v>
      </c>
      <c r="G187">
        <v>-75</v>
      </c>
      <c r="H187" s="2">
        <v>37.632933333333334</v>
      </c>
      <c r="I187" s="2">
        <v>141.01373333333333</v>
      </c>
      <c r="J187" s="4">
        <v>0</v>
      </c>
      <c r="K187" s="5">
        <v>0</v>
      </c>
      <c r="L187">
        <v>-73</v>
      </c>
      <c r="M187" s="2">
        <v>37.632953333333333</v>
      </c>
      <c r="N187" s="2">
        <v>141.01285333333331</v>
      </c>
      <c r="O187" s="4">
        <v>15.742000000000001</v>
      </c>
      <c r="P187" s="5">
        <v>91.4</v>
      </c>
      <c r="Q187" s="2">
        <f>6378137*ACOS(SIN(RADIANS(H187))*SIN(RADIANS(M187))+COS(RADIANS(H187))*COS(RADIANS(M187))*COS(RADIANS(I187)-RADIANS(N187)))</f>
        <v>77.611151384303099</v>
      </c>
      <c r="R187" t="s">
        <v>148</v>
      </c>
    </row>
    <row r="188" spans="1:18" x14ac:dyDescent="0.7">
      <c r="A188">
        <v>17.5</v>
      </c>
      <c r="B188" s="3">
        <v>0.50662037037037033</v>
      </c>
      <c r="C188" s="2">
        <v>37.632956666666672</v>
      </c>
      <c r="D188" s="2">
        <v>141.01292666666669</v>
      </c>
      <c r="E188" s="4">
        <v>15.742000000000001</v>
      </c>
      <c r="F188" s="5">
        <v>91.3</v>
      </c>
      <c r="G188">
        <v>-76</v>
      </c>
      <c r="H188" s="2">
        <v>37.632933333333334</v>
      </c>
      <c r="I188" s="2">
        <v>141.01375999999999</v>
      </c>
      <c r="J188" s="4">
        <v>0</v>
      </c>
      <c r="K188" s="5">
        <v>0</v>
      </c>
      <c r="L188">
        <v>-72</v>
      </c>
      <c r="M188" s="2">
        <v>37.632953333333333</v>
      </c>
      <c r="N188" s="2">
        <v>141.01290666666668</v>
      </c>
      <c r="O188" s="4">
        <v>15.742000000000001</v>
      </c>
      <c r="P188" s="5">
        <v>91.3</v>
      </c>
      <c r="Q188" s="2">
        <f>6378137*ACOS(SIN(RADIANS(H188))*SIN(RADIANS(M188))+COS(RADIANS(H188))*COS(RADIANS(M188))*COS(RADIANS(I188)-RADIANS(N188)))</f>
        <v>75.261223740159494</v>
      </c>
      <c r="R188" t="s">
        <v>148</v>
      </c>
    </row>
    <row r="189" spans="1:18" x14ac:dyDescent="0.7">
      <c r="A189">
        <v>22.5</v>
      </c>
      <c r="B189" s="3">
        <v>0.50662037037037033</v>
      </c>
      <c r="C189" s="2">
        <v>37.632956666666672</v>
      </c>
      <c r="D189" s="2">
        <v>141.01292666666669</v>
      </c>
      <c r="E189" s="4">
        <v>15.742000000000001</v>
      </c>
      <c r="F189" s="5">
        <v>91.3</v>
      </c>
      <c r="G189">
        <v>-76</v>
      </c>
      <c r="H189" s="2">
        <v>37.632933333333334</v>
      </c>
      <c r="I189" s="2">
        <v>141.01375999999999</v>
      </c>
      <c r="J189" s="4">
        <v>0</v>
      </c>
      <c r="K189" s="5">
        <v>0</v>
      </c>
      <c r="L189">
        <v>-72</v>
      </c>
      <c r="M189" s="2">
        <v>37.632953333333333</v>
      </c>
      <c r="N189" s="2">
        <v>141.01290666666668</v>
      </c>
      <c r="O189" s="4">
        <v>15.742000000000001</v>
      </c>
      <c r="P189" s="5">
        <v>91.3</v>
      </c>
      <c r="Q189" s="2">
        <f>6378137*ACOS(SIN(RADIANS(H189))*SIN(RADIANS(M189))+COS(RADIANS(H189))*COS(RADIANS(M189))*COS(RADIANS(I189)-RADIANS(N189)))</f>
        <v>75.261223740159494</v>
      </c>
      <c r="R189" t="s">
        <v>148</v>
      </c>
    </row>
    <row r="190" spans="1:18" x14ac:dyDescent="0.7">
      <c r="A190">
        <v>22.5</v>
      </c>
      <c r="B190" s="3">
        <v>0.50663194444444448</v>
      </c>
      <c r="C190" s="2">
        <v>37.632956666666672</v>
      </c>
      <c r="D190" s="2">
        <v>141.01297666666667</v>
      </c>
      <c r="E190" s="4">
        <v>15.556800000000001</v>
      </c>
      <c r="F190" s="5">
        <v>91.3</v>
      </c>
      <c r="G190">
        <v>-75</v>
      </c>
      <c r="H190" s="2">
        <v>37.632939999999998</v>
      </c>
      <c r="I190" s="2">
        <v>141.01375999999999</v>
      </c>
      <c r="J190" s="4">
        <v>0</v>
      </c>
      <c r="K190" s="5">
        <v>0</v>
      </c>
      <c r="L190">
        <v>-68</v>
      </c>
      <c r="M190" s="2">
        <v>37.632953333333333</v>
      </c>
      <c r="N190" s="2">
        <v>141.01295999999999</v>
      </c>
      <c r="O190" s="4">
        <v>15.556800000000001</v>
      </c>
      <c r="P190" s="5">
        <v>91.3</v>
      </c>
      <c r="Q190" s="2">
        <f>6378137*ACOS(SIN(RADIANS(H190))*SIN(RADIANS(M190))+COS(RADIANS(H190))*COS(RADIANS(M190))*COS(RADIANS(I190)-RADIANS(N190)))</f>
        <v>70.542097942331054</v>
      </c>
      <c r="R190" t="s">
        <v>148</v>
      </c>
    </row>
    <row r="191" spans="1:18" x14ac:dyDescent="0.7">
      <c r="A191">
        <v>27.5</v>
      </c>
      <c r="B191" s="3">
        <v>0.50663194444444448</v>
      </c>
      <c r="C191" s="2">
        <v>37.632956666666672</v>
      </c>
      <c r="D191" s="2">
        <v>141.01297666666667</v>
      </c>
      <c r="E191" s="4">
        <v>15.556800000000001</v>
      </c>
      <c r="F191" s="5">
        <v>91.3</v>
      </c>
      <c r="G191">
        <v>-75</v>
      </c>
      <c r="H191" s="2">
        <v>37.632939999999998</v>
      </c>
      <c r="I191" s="2">
        <v>141.01375999999999</v>
      </c>
      <c r="J191" s="4">
        <v>0</v>
      </c>
      <c r="K191" s="5">
        <v>0</v>
      </c>
      <c r="L191">
        <v>-68</v>
      </c>
      <c r="M191" s="2">
        <v>37.632953333333333</v>
      </c>
      <c r="N191" s="2">
        <v>141.01295999999999</v>
      </c>
      <c r="O191" s="4">
        <v>15.556800000000001</v>
      </c>
      <c r="P191" s="5">
        <v>91.3</v>
      </c>
      <c r="Q191" s="2">
        <f>6378137*ACOS(SIN(RADIANS(H191))*SIN(RADIANS(M191))+COS(RADIANS(H191))*COS(RADIANS(M191))*COS(RADIANS(I191)-RADIANS(N191)))</f>
        <v>70.542097942331054</v>
      </c>
      <c r="R191" t="s">
        <v>148</v>
      </c>
    </row>
    <row r="192" spans="1:18" x14ac:dyDescent="0.7">
      <c r="A192">
        <v>27.5</v>
      </c>
      <c r="B192" s="3">
        <v>0.50664351851851852</v>
      </c>
      <c r="C192" s="2">
        <v>37.632955000000003</v>
      </c>
      <c r="D192" s="2">
        <v>141.01302333333334</v>
      </c>
      <c r="E192" s="4">
        <v>14.816000000000001</v>
      </c>
      <c r="F192" s="5">
        <v>91</v>
      </c>
      <c r="G192">
        <v>-74</v>
      </c>
      <c r="H192" s="2">
        <v>37.632939999999998</v>
      </c>
      <c r="I192" s="2">
        <v>141.01375999999999</v>
      </c>
      <c r="J192" s="4">
        <v>0</v>
      </c>
      <c r="K192" s="5">
        <v>0</v>
      </c>
      <c r="L192">
        <v>-71</v>
      </c>
      <c r="M192" s="2">
        <v>37.632953333333333</v>
      </c>
      <c r="N192" s="2">
        <v>141.01301333333333</v>
      </c>
      <c r="O192" s="4">
        <v>14.816000000000001</v>
      </c>
      <c r="P192" s="5">
        <v>91</v>
      </c>
      <c r="Q192" s="2">
        <f>6378137*ACOS(SIN(RADIANS(H192))*SIN(RADIANS(M192))+COS(RADIANS(H192))*COS(RADIANS(M192))*COS(RADIANS(I192)-RADIANS(N192)))</f>
        <v>65.841434690060794</v>
      </c>
      <c r="R192" t="s">
        <v>148</v>
      </c>
    </row>
    <row r="193" spans="1:18" x14ac:dyDescent="0.7">
      <c r="A193">
        <v>32.5</v>
      </c>
      <c r="B193" s="3">
        <v>0.50665509259259256</v>
      </c>
      <c r="C193" s="2">
        <v>37.632953333333333</v>
      </c>
      <c r="D193" s="2">
        <v>141.01306333333332</v>
      </c>
      <c r="E193" s="4">
        <v>14.075200000000001</v>
      </c>
      <c r="F193" s="5">
        <v>91.6</v>
      </c>
      <c r="G193">
        <v>-74</v>
      </c>
      <c r="H193" s="2">
        <v>37.632946666666662</v>
      </c>
      <c r="I193" s="2">
        <v>141.01375999999999</v>
      </c>
      <c r="J193" s="4">
        <v>0</v>
      </c>
      <c r="K193" s="5">
        <v>0</v>
      </c>
      <c r="L193">
        <v>-70</v>
      </c>
      <c r="M193" s="2">
        <v>37.632946666666662</v>
      </c>
      <c r="N193" s="2">
        <v>141.01306666666667</v>
      </c>
      <c r="O193" s="4">
        <v>14.075200000000001</v>
      </c>
      <c r="P193" s="5">
        <v>91.6</v>
      </c>
      <c r="Q193" s="2">
        <f>6378137*ACOS(SIN(RADIANS(H193))*SIN(RADIANS(M193))+COS(RADIANS(H193))*COS(RADIANS(M193))*COS(RADIANS(I193)-RADIANS(N193)))</f>
        <v>61.123085774195602</v>
      </c>
      <c r="R193" t="s">
        <v>148</v>
      </c>
    </row>
    <row r="194" spans="1:18" x14ac:dyDescent="0.7">
      <c r="A194">
        <v>32.5</v>
      </c>
      <c r="B194" s="3">
        <v>0.50666666666666671</v>
      </c>
      <c r="C194" s="2">
        <v>37.632950000000001</v>
      </c>
      <c r="D194" s="2">
        <v>141.01310166666664</v>
      </c>
      <c r="E194" s="4">
        <v>14.075200000000001</v>
      </c>
      <c r="F194" s="5">
        <v>91.9</v>
      </c>
      <c r="G194">
        <v>-75</v>
      </c>
      <c r="H194" s="2">
        <v>37.632946666666662</v>
      </c>
      <c r="I194" s="2">
        <v>141.01375999999999</v>
      </c>
      <c r="J194" s="4">
        <v>0</v>
      </c>
      <c r="K194" s="5">
        <v>0</v>
      </c>
      <c r="L194">
        <v>-66</v>
      </c>
      <c r="M194" s="2">
        <v>37.632946666666662</v>
      </c>
      <c r="N194" s="2">
        <v>141.01309333333333</v>
      </c>
      <c r="O194" s="4">
        <v>14.075200000000001</v>
      </c>
      <c r="P194" s="5">
        <v>91.9</v>
      </c>
      <c r="Q194" s="2">
        <f>6378137*ACOS(SIN(RADIANS(H194))*SIN(RADIANS(M194))+COS(RADIANS(H194))*COS(RADIANS(M194))*COS(RADIANS(I194)-RADIANS(N194)))</f>
        <v>58.772174896163953</v>
      </c>
      <c r="R194" t="s">
        <v>148</v>
      </c>
    </row>
    <row r="195" spans="1:18" x14ac:dyDescent="0.7">
      <c r="A195">
        <v>37.5</v>
      </c>
      <c r="B195" s="3">
        <v>0.50666666666666671</v>
      </c>
      <c r="C195" s="2">
        <v>37.632950000000001</v>
      </c>
      <c r="D195" s="2">
        <v>141.01310166666664</v>
      </c>
      <c r="E195" s="4">
        <v>14.075200000000001</v>
      </c>
      <c r="F195" s="5">
        <v>91.9</v>
      </c>
      <c r="G195">
        <v>-75</v>
      </c>
      <c r="H195" s="2">
        <v>37.632946666666662</v>
      </c>
      <c r="I195" s="2">
        <v>141.01375999999999</v>
      </c>
      <c r="J195" s="4">
        <v>0</v>
      </c>
      <c r="K195" s="5">
        <v>0</v>
      </c>
      <c r="L195">
        <v>-66</v>
      </c>
      <c r="M195" s="2">
        <v>37.632946666666662</v>
      </c>
      <c r="N195" s="2">
        <v>141.01309333333333</v>
      </c>
      <c r="O195" s="4">
        <v>14.075200000000001</v>
      </c>
      <c r="P195" s="5">
        <v>91.9</v>
      </c>
      <c r="Q195" s="2">
        <f>6378137*ACOS(SIN(RADIANS(H195))*SIN(RADIANS(M195))+COS(RADIANS(H195))*COS(RADIANS(M195))*COS(RADIANS(I195)-RADIANS(N195)))</f>
        <v>58.772174896163953</v>
      </c>
      <c r="R195" t="s">
        <v>148</v>
      </c>
    </row>
    <row r="196" spans="1:18" x14ac:dyDescent="0.7">
      <c r="A196">
        <v>37.5</v>
      </c>
      <c r="B196" s="3">
        <v>0.50667824074074075</v>
      </c>
      <c r="C196" s="2">
        <v>37.632950000000001</v>
      </c>
      <c r="D196" s="2">
        <v>141.01313666666667</v>
      </c>
      <c r="E196" s="4">
        <v>11.6676</v>
      </c>
      <c r="F196" s="5">
        <v>91.5</v>
      </c>
      <c r="G196">
        <v>-74</v>
      </c>
      <c r="H196" s="2">
        <v>37.632946666666662</v>
      </c>
      <c r="I196" s="2">
        <v>141.01375999999999</v>
      </c>
      <c r="J196" s="4">
        <v>0</v>
      </c>
      <c r="K196" s="5">
        <v>0</v>
      </c>
      <c r="L196">
        <v>-70</v>
      </c>
      <c r="M196" s="2">
        <v>37.632946666666662</v>
      </c>
      <c r="N196" s="2">
        <v>141.01312000000001</v>
      </c>
      <c r="O196" s="4">
        <v>11.6676</v>
      </c>
      <c r="P196" s="5">
        <v>91.5</v>
      </c>
      <c r="Q196" s="2">
        <f>6378137*ACOS(SIN(RADIANS(H196))*SIN(RADIANS(M196))+COS(RADIANS(H196))*COS(RADIANS(M196))*COS(RADIANS(I196)-RADIANS(N196)))</f>
        <v>56.421368205991691</v>
      </c>
      <c r="R196" t="s">
        <v>148</v>
      </c>
    </row>
    <row r="197" spans="1:18" x14ac:dyDescent="0.7">
      <c r="A197">
        <v>37.5</v>
      </c>
      <c r="B197" s="3">
        <v>0.50668981481481479</v>
      </c>
      <c r="C197" s="2">
        <v>37.632946666666662</v>
      </c>
      <c r="D197" s="2">
        <v>141.01317166666666</v>
      </c>
      <c r="E197" s="4">
        <v>10.926800000000002</v>
      </c>
      <c r="F197" s="5">
        <v>91.6</v>
      </c>
      <c r="G197">
        <v>-75</v>
      </c>
      <c r="H197" s="2">
        <v>37.632946666666662</v>
      </c>
      <c r="I197" s="2">
        <v>141.01375999999999</v>
      </c>
      <c r="J197" s="4">
        <v>0</v>
      </c>
      <c r="K197" s="5">
        <v>0</v>
      </c>
      <c r="L197">
        <v>-66</v>
      </c>
      <c r="M197" s="2">
        <v>37.632946666666662</v>
      </c>
      <c r="N197" s="2">
        <v>141.01317333333333</v>
      </c>
      <c r="O197" s="4">
        <v>10.9268</v>
      </c>
      <c r="P197" s="5">
        <v>91.6</v>
      </c>
      <c r="Q197" s="2">
        <f>6378137*ACOS(SIN(RADIANS(H197))*SIN(RADIANS(M197))+COS(RADIANS(H197))*COS(RADIANS(M197))*COS(RADIANS(I197)-RADIANS(N197)))</f>
        <v>51.719600256789377</v>
      </c>
      <c r="R197" t="s">
        <v>148</v>
      </c>
    </row>
    <row r="198" spans="1:18" x14ac:dyDescent="0.7">
      <c r="A198">
        <v>42.5</v>
      </c>
      <c r="B198" s="3">
        <v>0.50668981481481479</v>
      </c>
      <c r="C198" s="2">
        <v>37.632946666666662</v>
      </c>
      <c r="D198" s="2">
        <v>141.01317166666666</v>
      </c>
      <c r="E198" s="4">
        <v>10.926800000000002</v>
      </c>
      <c r="F198" s="5">
        <v>91.6</v>
      </c>
      <c r="G198">
        <v>-75</v>
      </c>
      <c r="H198" s="2">
        <v>37.632946666666662</v>
      </c>
      <c r="I198" s="2">
        <v>141.01375999999999</v>
      </c>
      <c r="J198" s="4">
        <v>0</v>
      </c>
      <c r="K198" s="5">
        <v>0</v>
      </c>
      <c r="L198">
        <v>-66</v>
      </c>
      <c r="M198" s="2">
        <v>37.632946666666662</v>
      </c>
      <c r="N198" s="2">
        <v>141.01317333333333</v>
      </c>
      <c r="O198" s="4">
        <v>10.9268</v>
      </c>
      <c r="P198" s="5">
        <v>91.6</v>
      </c>
      <c r="Q198" s="2">
        <f>6378137*ACOS(SIN(RADIANS(H198))*SIN(RADIANS(M198))+COS(RADIANS(H198))*COS(RADIANS(M198))*COS(RADIANS(I198)-RADIANS(N198)))</f>
        <v>51.719600256789377</v>
      </c>
      <c r="R198" t="s">
        <v>148</v>
      </c>
    </row>
    <row r="199" spans="1:18" x14ac:dyDescent="0.7">
      <c r="A199">
        <v>42.5</v>
      </c>
      <c r="B199" s="3">
        <v>0.50670138888888883</v>
      </c>
      <c r="C199" s="2">
        <v>37.632948333333339</v>
      </c>
      <c r="D199" s="2">
        <v>141.01320833333332</v>
      </c>
      <c r="E199" s="4">
        <v>10.926800000000002</v>
      </c>
      <c r="F199" s="5">
        <v>89.6</v>
      </c>
      <c r="G199">
        <v>-75</v>
      </c>
      <c r="H199" s="2">
        <v>37.632946666666662</v>
      </c>
      <c r="I199" s="2">
        <v>141.01375999999999</v>
      </c>
      <c r="J199" s="4">
        <v>0</v>
      </c>
      <c r="K199" s="5">
        <v>0</v>
      </c>
      <c r="L199">
        <v>-64</v>
      </c>
      <c r="M199" s="2">
        <v>37.632946666666662</v>
      </c>
      <c r="N199" s="2">
        <v>141.01319999999998</v>
      </c>
      <c r="O199" s="4">
        <v>10.9268</v>
      </c>
      <c r="P199" s="5">
        <v>89.6</v>
      </c>
      <c r="Q199" s="2">
        <f>6378137*ACOS(SIN(RADIANS(H199))*SIN(RADIANS(M199))+COS(RADIANS(H199))*COS(RADIANS(M199))*COS(RADIANS(I199)-RADIANS(N199)))</f>
        <v>49.368715763139591</v>
      </c>
      <c r="R199" t="s">
        <v>148</v>
      </c>
    </row>
    <row r="200" spans="1:18" x14ac:dyDescent="0.7">
      <c r="A200">
        <v>42.5</v>
      </c>
      <c r="B200" s="3">
        <v>0.50671296296296298</v>
      </c>
      <c r="C200" s="2">
        <v>37.632946666666662</v>
      </c>
      <c r="D200" s="2">
        <v>141.01324166666666</v>
      </c>
      <c r="E200" s="4">
        <v>12.2232</v>
      </c>
      <c r="F200" s="5">
        <v>89.8</v>
      </c>
      <c r="G200">
        <v>-75</v>
      </c>
      <c r="H200" s="2">
        <v>37.632946666666662</v>
      </c>
      <c r="I200" s="2">
        <v>141.01375999999999</v>
      </c>
      <c r="J200" s="4">
        <v>0</v>
      </c>
      <c r="K200" s="5">
        <v>0</v>
      </c>
      <c r="L200">
        <v>-64</v>
      </c>
      <c r="M200" s="2">
        <v>37.632946666666662</v>
      </c>
      <c r="N200" s="2">
        <v>141.01322666666667</v>
      </c>
      <c r="O200" s="4">
        <v>12.2232</v>
      </c>
      <c r="P200" s="5">
        <v>89.8</v>
      </c>
      <c r="Q200" s="2">
        <f>6378137*ACOS(SIN(RADIANS(H200))*SIN(RADIANS(M200))+COS(RADIANS(H200))*COS(RADIANS(M200))*COS(RADIANS(I200)-RADIANS(N200)))</f>
        <v>47.017766813988615</v>
      </c>
      <c r="R200" t="s">
        <v>148</v>
      </c>
    </row>
    <row r="201" spans="1:18" x14ac:dyDescent="0.7">
      <c r="A201">
        <v>47.5</v>
      </c>
      <c r="B201" s="3">
        <v>0.50671296296296298</v>
      </c>
      <c r="C201" s="2">
        <v>37.632946666666662</v>
      </c>
      <c r="D201" s="2">
        <v>141.01324166666666</v>
      </c>
      <c r="E201" s="4">
        <v>12.2232</v>
      </c>
      <c r="F201" s="5">
        <v>89.8</v>
      </c>
      <c r="G201">
        <v>-75</v>
      </c>
      <c r="H201" s="2">
        <v>37.632946666666662</v>
      </c>
      <c r="I201" s="2">
        <v>141.01375999999999</v>
      </c>
      <c r="J201" s="4">
        <v>0</v>
      </c>
      <c r="K201" s="5">
        <v>0</v>
      </c>
      <c r="L201">
        <v>-64</v>
      </c>
      <c r="M201" s="2">
        <v>37.632946666666662</v>
      </c>
      <c r="N201" s="2">
        <v>141.01322666666667</v>
      </c>
      <c r="O201" s="4">
        <v>12.2232</v>
      </c>
      <c r="P201" s="5">
        <v>89.8</v>
      </c>
      <c r="Q201" s="2">
        <f>6378137*ACOS(SIN(RADIANS(H201))*SIN(RADIANS(M201))+COS(RADIANS(H201))*COS(RADIANS(M201))*COS(RADIANS(I201)-RADIANS(N201)))</f>
        <v>47.017766813988615</v>
      </c>
      <c r="R201" t="s">
        <v>148</v>
      </c>
    </row>
    <row r="202" spans="1:18" x14ac:dyDescent="0.7">
      <c r="A202">
        <v>47.5</v>
      </c>
      <c r="B202" s="3">
        <v>0.50672453703703701</v>
      </c>
      <c r="C202" s="2">
        <v>37.632946666666662</v>
      </c>
      <c r="D202" s="2">
        <v>141.01327499999999</v>
      </c>
      <c r="E202" s="4">
        <v>11.6676</v>
      </c>
      <c r="F202" s="5">
        <v>90.5</v>
      </c>
      <c r="G202">
        <v>-76</v>
      </c>
      <c r="H202" s="2">
        <v>37.632946666666662</v>
      </c>
      <c r="I202" s="2">
        <v>141.01375999999999</v>
      </c>
      <c r="J202" s="4">
        <v>0</v>
      </c>
      <c r="K202" s="5">
        <v>0</v>
      </c>
      <c r="L202">
        <v>-63</v>
      </c>
      <c r="M202" s="2">
        <v>37.632946666666662</v>
      </c>
      <c r="N202" s="2">
        <v>141.01328000000001</v>
      </c>
      <c r="O202" s="4">
        <v>11.6676</v>
      </c>
      <c r="P202" s="5">
        <v>90.5</v>
      </c>
      <c r="Q202" s="2">
        <f>6378137*ACOS(SIN(RADIANS(H202))*SIN(RADIANS(M202))+COS(RADIANS(H202))*COS(RADIANS(M202))*COS(RADIANS(I202)-RADIANS(N202)))</f>
        <v>42.316059507793881</v>
      </c>
      <c r="R202" t="s">
        <v>148</v>
      </c>
    </row>
    <row r="203" spans="1:18" x14ac:dyDescent="0.7">
      <c r="A203">
        <v>52.5</v>
      </c>
      <c r="B203" s="3">
        <v>0.50672453703703701</v>
      </c>
      <c r="C203" s="2">
        <v>37.632946666666662</v>
      </c>
      <c r="D203" s="2">
        <v>141.01327499999999</v>
      </c>
      <c r="E203" s="4">
        <v>11.6676</v>
      </c>
      <c r="F203" s="5">
        <v>90.5</v>
      </c>
      <c r="G203">
        <v>-76</v>
      </c>
      <c r="H203" s="2">
        <v>37.632946666666662</v>
      </c>
      <c r="I203" s="2">
        <v>141.01375999999999</v>
      </c>
      <c r="J203" s="4">
        <v>0</v>
      </c>
      <c r="K203" s="5">
        <v>0</v>
      </c>
      <c r="L203">
        <v>-63</v>
      </c>
      <c r="M203" s="2">
        <v>37.632946666666662</v>
      </c>
      <c r="N203" s="2">
        <v>141.01328000000001</v>
      </c>
      <c r="O203" s="4">
        <v>11.6676</v>
      </c>
      <c r="P203" s="5">
        <v>90.5</v>
      </c>
      <c r="Q203" s="2">
        <f>6378137*ACOS(SIN(RADIANS(H203))*SIN(RADIANS(M203))+COS(RADIANS(H203))*COS(RADIANS(M203))*COS(RADIANS(I203)-RADIANS(N203)))</f>
        <v>42.316059507793881</v>
      </c>
      <c r="R203" t="s">
        <v>148</v>
      </c>
    </row>
    <row r="204" spans="1:18" x14ac:dyDescent="0.7">
      <c r="A204">
        <v>52.5</v>
      </c>
      <c r="B204" s="3">
        <v>0.50673611111111116</v>
      </c>
      <c r="C204" s="2">
        <v>37.632946666666662</v>
      </c>
      <c r="D204" s="2">
        <v>141.01331166666665</v>
      </c>
      <c r="E204" s="4">
        <v>11.2972</v>
      </c>
      <c r="F204" s="5">
        <v>90.4</v>
      </c>
      <c r="G204">
        <v>-75</v>
      </c>
      <c r="H204" s="2">
        <v>37.632946666666662</v>
      </c>
      <c r="I204" s="2">
        <v>141.01375999999999</v>
      </c>
      <c r="J204" s="4">
        <v>0</v>
      </c>
      <c r="K204" s="5">
        <v>0</v>
      </c>
      <c r="L204">
        <v>-61</v>
      </c>
      <c r="M204" s="2">
        <v>37.632946666666662</v>
      </c>
      <c r="N204" s="2">
        <v>141.01330666666667</v>
      </c>
      <c r="O204" s="4">
        <v>11.2972</v>
      </c>
      <c r="P204" s="5">
        <v>90.4</v>
      </c>
      <c r="Q204" s="2">
        <f>6378137*ACOS(SIN(RADIANS(H204))*SIN(RADIANS(M204))+COS(RADIANS(H204))*COS(RADIANS(M204))*COS(RADIANS(I204)-RADIANS(N204)))</f>
        <v>39.965210562956173</v>
      </c>
      <c r="R204" t="s">
        <v>148</v>
      </c>
    </row>
    <row r="205" spans="1:18" x14ac:dyDescent="0.7">
      <c r="A205">
        <v>57.5</v>
      </c>
      <c r="B205" s="3">
        <v>0.5067476851851852</v>
      </c>
      <c r="C205" s="2">
        <v>37.632946666666662</v>
      </c>
      <c r="D205" s="2">
        <v>141.01334499999999</v>
      </c>
      <c r="E205" s="4">
        <v>10.926800000000002</v>
      </c>
      <c r="F205" s="5">
        <v>91.2</v>
      </c>
      <c r="G205">
        <v>-75</v>
      </c>
      <c r="H205" s="2">
        <v>37.632946666666662</v>
      </c>
      <c r="I205" s="2">
        <v>141.01375999999999</v>
      </c>
      <c r="J205" s="4">
        <v>0</v>
      </c>
      <c r="K205" s="5">
        <v>0</v>
      </c>
      <c r="L205">
        <v>-58</v>
      </c>
      <c r="M205" s="2">
        <v>37.632946666666662</v>
      </c>
      <c r="N205" s="2">
        <v>141.01333333333332</v>
      </c>
      <c r="O205" s="4">
        <v>10.9268</v>
      </c>
      <c r="P205" s="5">
        <v>91.2</v>
      </c>
      <c r="Q205" s="2">
        <f>6378137*ACOS(SIN(RADIANS(H205))*SIN(RADIANS(M205))+COS(RADIANS(H205))*COS(RADIANS(M205))*COS(RADIANS(I205)-RADIANS(N205)))</f>
        <v>37.614285494290804</v>
      </c>
      <c r="R205" t="s">
        <v>148</v>
      </c>
    </row>
    <row r="206" spans="1:18" x14ac:dyDescent="0.7">
      <c r="A206">
        <v>57.5</v>
      </c>
      <c r="B206" s="3">
        <v>0.50675925925925924</v>
      </c>
      <c r="C206" s="2">
        <v>37.63294333333333</v>
      </c>
      <c r="D206" s="2">
        <v>141.01337666666669</v>
      </c>
      <c r="E206" s="4">
        <v>10.926800000000002</v>
      </c>
      <c r="F206" s="5">
        <v>92.4</v>
      </c>
      <c r="G206">
        <v>-74</v>
      </c>
      <c r="H206" s="2">
        <v>37.632946666666662</v>
      </c>
      <c r="I206" s="2">
        <v>141.01375999999999</v>
      </c>
      <c r="J206" s="4">
        <v>0</v>
      </c>
      <c r="K206" s="5">
        <v>0</v>
      </c>
      <c r="L206">
        <v>-58</v>
      </c>
      <c r="M206" s="2">
        <v>37.632946666666662</v>
      </c>
      <c r="N206" s="2">
        <v>141.01336000000001</v>
      </c>
      <c r="O206" s="4">
        <v>10.9268</v>
      </c>
      <c r="P206" s="5">
        <v>92.4</v>
      </c>
      <c r="Q206" s="2">
        <f>6378137*ACOS(SIN(RADIANS(H206))*SIN(RADIANS(M206))+COS(RADIANS(H206))*COS(RADIANS(M206))*COS(RADIANS(I206)-RADIANS(N206)))</f>
        <v>35.263397154157872</v>
      </c>
      <c r="R206" t="s">
        <v>148</v>
      </c>
    </row>
    <row r="207" spans="1:18" x14ac:dyDescent="0.7">
      <c r="A207">
        <v>62.5</v>
      </c>
      <c r="B207" s="3">
        <v>0.50675925925925924</v>
      </c>
      <c r="C207" s="2">
        <v>37.63294333333333</v>
      </c>
      <c r="D207" s="2">
        <v>141.01337666666669</v>
      </c>
      <c r="E207" s="4">
        <v>10.926800000000002</v>
      </c>
      <c r="F207" s="5">
        <v>92.4</v>
      </c>
      <c r="G207">
        <v>-74</v>
      </c>
      <c r="H207" s="2">
        <v>37.632946666666662</v>
      </c>
      <c r="I207" s="2">
        <v>141.01375999999999</v>
      </c>
      <c r="J207" s="4">
        <v>0</v>
      </c>
      <c r="K207" s="5">
        <v>0</v>
      </c>
      <c r="L207">
        <v>-58</v>
      </c>
      <c r="M207" s="2">
        <v>37.632946666666662</v>
      </c>
      <c r="N207" s="2">
        <v>141.01336000000001</v>
      </c>
      <c r="O207" s="4">
        <v>10.9268</v>
      </c>
      <c r="P207" s="5">
        <v>92.4</v>
      </c>
      <c r="Q207" s="2">
        <f>6378137*ACOS(SIN(RADIANS(H207))*SIN(RADIANS(M207))+COS(RADIANS(H207))*COS(RADIANS(M207))*COS(RADIANS(I207)-RADIANS(N207)))</f>
        <v>35.263397154157872</v>
      </c>
      <c r="R207" t="s">
        <v>148</v>
      </c>
    </row>
    <row r="208" spans="1:18" x14ac:dyDescent="0.7">
      <c r="A208">
        <v>62.5</v>
      </c>
      <c r="B208" s="3">
        <v>0.50677083333333328</v>
      </c>
      <c r="C208" s="2">
        <v>37.632941666666667</v>
      </c>
      <c r="D208" s="2">
        <v>141.01341333333332</v>
      </c>
      <c r="E208" s="4">
        <v>10.926800000000002</v>
      </c>
      <c r="F208" s="5">
        <v>92.5</v>
      </c>
      <c r="G208">
        <v>-74</v>
      </c>
      <c r="H208" s="2">
        <v>37.632946666666662</v>
      </c>
      <c r="I208" s="2">
        <v>141.01375999999999</v>
      </c>
      <c r="J208" s="4">
        <v>0</v>
      </c>
      <c r="K208" s="5">
        <v>0</v>
      </c>
      <c r="L208">
        <v>-58</v>
      </c>
      <c r="M208" s="2">
        <v>37.632939999999998</v>
      </c>
      <c r="N208" s="2">
        <v>141.01338666666666</v>
      </c>
      <c r="O208" s="4">
        <v>10.9268</v>
      </c>
      <c r="P208" s="5">
        <v>92.5</v>
      </c>
      <c r="Q208" s="2">
        <f>6378137*ACOS(SIN(RADIANS(H208))*SIN(RADIANS(M208))+COS(RADIANS(H208))*COS(RADIANS(M208))*COS(RADIANS(I208)-RADIANS(N208)))</f>
        <v>32.92092313187905</v>
      </c>
      <c r="R208" t="s">
        <v>148</v>
      </c>
    </row>
    <row r="209" spans="1:18" x14ac:dyDescent="0.7">
      <c r="A209">
        <v>67.5</v>
      </c>
      <c r="B209" s="3">
        <v>0.50678240740740743</v>
      </c>
      <c r="C209" s="2">
        <v>37.632941666666667</v>
      </c>
      <c r="D209" s="2">
        <v>141.01345000000001</v>
      </c>
      <c r="E209" s="4">
        <v>10.926800000000002</v>
      </c>
      <c r="F209" s="5">
        <v>91.9</v>
      </c>
      <c r="G209">
        <v>-74</v>
      </c>
      <c r="H209" s="2">
        <v>37.632946666666662</v>
      </c>
      <c r="I209" s="2">
        <v>141.01375999999999</v>
      </c>
      <c r="J209" s="4">
        <v>0</v>
      </c>
      <c r="K209" s="5">
        <v>0</v>
      </c>
      <c r="L209">
        <v>-55</v>
      </c>
      <c r="M209" s="2">
        <v>37.632939999999998</v>
      </c>
      <c r="N209" s="2">
        <v>141.01344</v>
      </c>
      <c r="O209" s="4">
        <v>10.9268</v>
      </c>
      <c r="P209" s="5">
        <v>91.9</v>
      </c>
      <c r="Q209" s="2">
        <f>6378137*ACOS(SIN(RADIANS(H209))*SIN(RADIANS(M209))+COS(RADIANS(H209))*COS(RADIANS(M209))*COS(RADIANS(I209)-RADIANS(N209)))</f>
        <v>28.220488364390249</v>
      </c>
      <c r="R209" t="s">
        <v>148</v>
      </c>
    </row>
    <row r="210" spans="1:18" x14ac:dyDescent="0.7">
      <c r="A210">
        <v>67.5</v>
      </c>
      <c r="B210" s="3">
        <v>0.50679398148148147</v>
      </c>
      <c r="C210" s="2">
        <v>37.632941666666667</v>
      </c>
      <c r="D210" s="2">
        <v>141.01348666666667</v>
      </c>
      <c r="E210" s="4">
        <v>10.926800000000002</v>
      </c>
      <c r="F210" s="5">
        <v>91.3</v>
      </c>
      <c r="G210">
        <v>-74</v>
      </c>
      <c r="H210" s="2">
        <v>37.632946666666662</v>
      </c>
      <c r="I210" s="2">
        <v>141.01375999999999</v>
      </c>
      <c r="J210" s="4">
        <v>0</v>
      </c>
      <c r="K210" s="5">
        <v>0</v>
      </c>
      <c r="L210">
        <v>-54</v>
      </c>
      <c r="M210" s="2">
        <v>37.632939999999998</v>
      </c>
      <c r="N210" s="2">
        <v>141.01349333333334</v>
      </c>
      <c r="O210" s="4">
        <v>10.9268</v>
      </c>
      <c r="P210" s="5">
        <v>91.3</v>
      </c>
      <c r="Q210" s="2">
        <f>6378137*ACOS(SIN(RADIANS(H210))*SIN(RADIANS(M210))+COS(RADIANS(H210))*COS(RADIANS(M210))*COS(RADIANS(I210)-RADIANS(N210)))</f>
        <v>23.520839653208526</v>
      </c>
      <c r="R210" t="s">
        <v>148</v>
      </c>
    </row>
    <row r="211" spans="1:18" x14ac:dyDescent="0.7">
      <c r="A211">
        <v>72.5</v>
      </c>
      <c r="B211" s="3">
        <v>0.50680555555555562</v>
      </c>
      <c r="C211" s="2">
        <v>37.632941666666667</v>
      </c>
      <c r="D211" s="2">
        <v>141.01352499999999</v>
      </c>
      <c r="E211" s="4">
        <v>10.926800000000002</v>
      </c>
      <c r="F211" s="5">
        <v>90.8</v>
      </c>
      <c r="G211">
        <v>-75</v>
      </c>
      <c r="H211" s="2">
        <v>37.632946666666662</v>
      </c>
      <c r="I211" s="2">
        <v>141.01375999999999</v>
      </c>
      <c r="J211" s="4">
        <v>0</v>
      </c>
      <c r="K211" s="5">
        <v>0</v>
      </c>
      <c r="L211">
        <v>-54</v>
      </c>
      <c r="M211" s="2">
        <v>37.632939999999998</v>
      </c>
      <c r="N211" s="2">
        <v>141.01352</v>
      </c>
      <c r="O211" s="4">
        <v>10.9268</v>
      </c>
      <c r="P211" s="5">
        <v>90.8</v>
      </c>
      <c r="Q211" s="2">
        <f>6378137*ACOS(SIN(RADIANS(H211))*SIN(RADIANS(M211))+COS(RADIANS(H211))*COS(RADIANS(M211))*COS(RADIANS(I211)-RADIANS(N211)))</f>
        <v>21.171046994281667</v>
      </c>
      <c r="R211" t="s">
        <v>148</v>
      </c>
    </row>
    <row r="212" spans="1:18" x14ac:dyDescent="0.7">
      <c r="A212">
        <v>72.5</v>
      </c>
      <c r="B212" s="3">
        <v>0.50681712962962966</v>
      </c>
      <c r="C212" s="2">
        <v>37.632941666666667</v>
      </c>
      <c r="D212" s="2">
        <v>141.01356166666667</v>
      </c>
      <c r="E212" s="4">
        <v>11.2972</v>
      </c>
      <c r="F212" s="5">
        <v>90.5</v>
      </c>
      <c r="G212">
        <v>-74</v>
      </c>
      <c r="H212" s="2">
        <v>37.632946666666662</v>
      </c>
      <c r="I212" s="2">
        <v>141.01375999999999</v>
      </c>
      <c r="J212" s="4">
        <v>0</v>
      </c>
      <c r="K212" s="5">
        <v>0</v>
      </c>
      <c r="L212">
        <v>-53</v>
      </c>
      <c r="M212" s="2">
        <v>37.632939999999998</v>
      </c>
      <c r="N212" s="2">
        <v>141.01354666666666</v>
      </c>
      <c r="O212" s="4">
        <v>11.2972</v>
      </c>
      <c r="P212" s="5">
        <v>90.5</v>
      </c>
      <c r="Q212" s="2">
        <f>6378137*ACOS(SIN(RADIANS(H212))*SIN(RADIANS(M212))+COS(RADIANS(H212))*COS(RADIANS(M212))*COS(RADIANS(I212)-RADIANS(N212)))</f>
        <v>18.822085889496115</v>
      </c>
      <c r="R212" t="s">
        <v>148</v>
      </c>
    </row>
    <row r="213" spans="1:18" x14ac:dyDescent="0.7">
      <c r="A213">
        <v>2.5</v>
      </c>
      <c r="B213" s="3">
        <v>0.50793981481481476</v>
      </c>
      <c r="C213" s="2">
        <v>37.63294333333333</v>
      </c>
      <c r="D213" s="2">
        <v>141.01270666666667</v>
      </c>
      <c r="E213" s="4">
        <v>15.001200000000001</v>
      </c>
      <c r="F213" s="5">
        <v>83.7</v>
      </c>
      <c r="G213">
        <v>-76</v>
      </c>
      <c r="H213" s="2">
        <v>37.632953333333333</v>
      </c>
      <c r="I213" s="2">
        <v>141.01373333333333</v>
      </c>
      <c r="J213" s="4">
        <v>0</v>
      </c>
      <c r="K213" s="5">
        <v>0</v>
      </c>
      <c r="L213">
        <v>-74</v>
      </c>
      <c r="M213" s="2">
        <v>37.632946666666662</v>
      </c>
      <c r="N213" s="2">
        <v>141.01269333333332</v>
      </c>
      <c r="O213" s="4">
        <v>15.001200000000001</v>
      </c>
      <c r="P213" s="5">
        <v>83.7</v>
      </c>
      <c r="Q213" s="2">
        <f>6378137*ACOS(SIN(RADIANS(H213))*SIN(RADIANS(M213))+COS(RADIANS(H213))*COS(RADIANS(M213))*COS(RADIANS(I213)-RADIANS(N213)))</f>
        <v>91.687559631887481</v>
      </c>
      <c r="R213" t="s">
        <v>150</v>
      </c>
    </row>
    <row r="214" spans="1:18" x14ac:dyDescent="0.7">
      <c r="A214">
        <v>27.5</v>
      </c>
      <c r="B214" s="3">
        <v>0.50799768518518518</v>
      </c>
      <c r="C214" s="2">
        <v>37.632936666666666</v>
      </c>
      <c r="D214" s="2">
        <v>141.01301833333335</v>
      </c>
      <c r="E214" s="4">
        <v>20.001600000000003</v>
      </c>
      <c r="F214" s="5">
        <v>88.9</v>
      </c>
      <c r="G214">
        <v>-75</v>
      </c>
      <c r="H214" s="2">
        <v>37.632946666666662</v>
      </c>
      <c r="I214" s="2">
        <v>141.01370666666665</v>
      </c>
      <c r="J214" s="4">
        <v>0</v>
      </c>
      <c r="K214" s="5">
        <v>0</v>
      </c>
      <c r="L214">
        <v>-67</v>
      </c>
      <c r="M214" s="2">
        <v>37.632933333333334</v>
      </c>
      <c r="N214" s="2">
        <v>141.01301333333333</v>
      </c>
      <c r="O214" s="4">
        <v>20.0016</v>
      </c>
      <c r="P214" s="5">
        <v>88.9</v>
      </c>
      <c r="Q214" s="2">
        <f>6378137*ACOS(SIN(RADIANS(H214))*SIN(RADIANS(M214))+COS(RADIANS(H214))*COS(RADIANS(M214))*COS(RADIANS(I214)-RADIANS(N214)))</f>
        <v>61.141186434517955</v>
      </c>
      <c r="R214" t="s">
        <v>150</v>
      </c>
    </row>
    <row r="215" spans="1:18" x14ac:dyDescent="0.7">
      <c r="A215">
        <v>32.5</v>
      </c>
      <c r="B215" s="3">
        <v>0.50800925925925922</v>
      </c>
      <c r="C215" s="2">
        <v>37.632939999999998</v>
      </c>
      <c r="D215" s="2">
        <v>141.01308166666666</v>
      </c>
      <c r="E215" s="4">
        <v>19.446000000000002</v>
      </c>
      <c r="F215" s="5">
        <v>88.7</v>
      </c>
      <c r="G215">
        <v>-76</v>
      </c>
      <c r="H215" s="2">
        <v>37.632946666666662</v>
      </c>
      <c r="I215" s="2">
        <v>141.01370666666665</v>
      </c>
      <c r="J215" s="4">
        <v>0</v>
      </c>
      <c r="K215" s="5">
        <v>0</v>
      </c>
      <c r="L215">
        <v>-64</v>
      </c>
      <c r="M215" s="2">
        <v>37.632939999999998</v>
      </c>
      <c r="N215" s="2">
        <v>141.01309333333333</v>
      </c>
      <c r="O215" s="4">
        <v>19.446000000000002</v>
      </c>
      <c r="P215" s="5">
        <v>88.7</v>
      </c>
      <c r="Q215" s="2">
        <f>6378137*ACOS(SIN(RADIANS(H215))*SIN(RADIANS(M215))+COS(RADIANS(H215))*COS(RADIANS(M215))*COS(RADIANS(I215)-RADIANS(N215)))</f>
        <v>54.075440220287085</v>
      </c>
      <c r="R215" t="s">
        <v>150</v>
      </c>
    </row>
    <row r="216" spans="1:18" x14ac:dyDescent="0.7">
      <c r="A216">
        <v>42.5</v>
      </c>
      <c r="B216" s="3">
        <v>0.5080324074074074</v>
      </c>
      <c r="C216" s="2">
        <v>37.63294333333333</v>
      </c>
      <c r="D216" s="2">
        <v>141.01320333333334</v>
      </c>
      <c r="E216" s="4">
        <v>19.446000000000002</v>
      </c>
      <c r="F216" s="5">
        <v>89.2</v>
      </c>
      <c r="G216">
        <v>-77</v>
      </c>
      <c r="H216" s="2">
        <v>37.632946666666662</v>
      </c>
      <c r="I216" s="2">
        <v>141.01370666666665</v>
      </c>
      <c r="J216" s="4">
        <v>0</v>
      </c>
      <c r="K216" s="5">
        <v>0</v>
      </c>
      <c r="L216">
        <v>-64</v>
      </c>
      <c r="M216" s="2">
        <v>37.632946666666662</v>
      </c>
      <c r="N216" s="2">
        <v>141.01319999999998</v>
      </c>
      <c r="O216" s="4">
        <v>19.446000000000002</v>
      </c>
      <c r="P216" s="5">
        <v>89.2</v>
      </c>
      <c r="Q216" s="2">
        <f>6378137*ACOS(SIN(RADIANS(H216))*SIN(RADIANS(M216))+COS(RADIANS(H216))*COS(RADIANS(M216))*COS(RADIANS(I216)-RADIANS(N216)))</f>
        <v>44.666945461577733</v>
      </c>
      <c r="R216" t="s">
        <v>150</v>
      </c>
    </row>
    <row r="217" spans="1:18" x14ac:dyDescent="0.7">
      <c r="A217">
        <v>47.5</v>
      </c>
      <c r="B217" s="3">
        <v>0.50804398148148155</v>
      </c>
      <c r="C217" s="2">
        <v>37.632944999999999</v>
      </c>
      <c r="D217" s="2">
        <v>141.01326499999999</v>
      </c>
      <c r="E217" s="4">
        <v>19.446000000000002</v>
      </c>
      <c r="F217" s="5">
        <v>88.6</v>
      </c>
      <c r="G217">
        <v>-70</v>
      </c>
      <c r="H217" s="2">
        <v>37.632953333333333</v>
      </c>
      <c r="I217" s="2">
        <v>141.01285333333331</v>
      </c>
      <c r="J217" s="4">
        <v>0</v>
      </c>
      <c r="K217" s="5">
        <v>0</v>
      </c>
      <c r="L217">
        <v>-85</v>
      </c>
      <c r="M217" s="2">
        <v>37.632946666666662</v>
      </c>
      <c r="N217" s="2">
        <v>141.01328000000001</v>
      </c>
      <c r="O217" s="4">
        <v>19.446000000000002</v>
      </c>
      <c r="P217" s="5">
        <v>88.6</v>
      </c>
      <c r="Q217" s="2">
        <f>6378137*ACOS(SIN(RADIANS(H217))*SIN(RADIANS(M217))+COS(RADIANS(H217))*COS(RADIANS(M217))*COS(RADIANS(I217)-RADIANS(N217)))</f>
        <v>37.621489179724549</v>
      </c>
      <c r="R217" t="s">
        <v>150</v>
      </c>
    </row>
    <row r="218" spans="1:18" x14ac:dyDescent="0.7">
      <c r="A218">
        <v>52.5</v>
      </c>
      <c r="B218" s="3">
        <v>0.50804398148148155</v>
      </c>
      <c r="C218" s="2">
        <v>37.632944999999999</v>
      </c>
      <c r="D218" s="2">
        <v>141.01326499999999</v>
      </c>
      <c r="E218" s="4">
        <v>19.446000000000002</v>
      </c>
      <c r="F218" s="5">
        <v>88.6</v>
      </c>
      <c r="G218">
        <v>-70</v>
      </c>
      <c r="H218" s="2">
        <v>37.632953333333333</v>
      </c>
      <c r="I218" s="2">
        <v>141.01285333333331</v>
      </c>
      <c r="J218" s="4">
        <v>0</v>
      </c>
      <c r="K218" s="5">
        <v>0</v>
      </c>
      <c r="L218">
        <v>-85</v>
      </c>
      <c r="M218" s="2">
        <v>37.632946666666662</v>
      </c>
      <c r="N218" s="2">
        <v>141.01328000000001</v>
      </c>
      <c r="O218" s="4">
        <v>19.446000000000002</v>
      </c>
      <c r="P218" s="5">
        <v>88.6</v>
      </c>
      <c r="Q218" s="2">
        <f>6378137*ACOS(SIN(RADIANS(H218))*SIN(RADIANS(M218))+COS(RADIANS(H218))*COS(RADIANS(M218))*COS(RADIANS(I218)-RADIANS(N218)))</f>
        <v>37.621489179724549</v>
      </c>
      <c r="R218" t="s">
        <v>150</v>
      </c>
    </row>
    <row r="219" spans="1:18" x14ac:dyDescent="0.7">
      <c r="A219">
        <v>52.5</v>
      </c>
      <c r="B219" s="3">
        <v>0.50805555555555559</v>
      </c>
      <c r="C219" s="2">
        <v>37.632946666666662</v>
      </c>
      <c r="D219" s="2">
        <v>141.01332666666667</v>
      </c>
      <c r="E219" s="4">
        <v>19.446000000000002</v>
      </c>
      <c r="F219" s="5">
        <v>88.4</v>
      </c>
      <c r="G219">
        <v>-70</v>
      </c>
      <c r="H219" s="2">
        <v>37.632946666666662</v>
      </c>
      <c r="I219" s="2">
        <v>141.01285333333331</v>
      </c>
      <c r="J219" s="4">
        <v>0</v>
      </c>
      <c r="K219" s="5">
        <v>0</v>
      </c>
      <c r="L219">
        <v>-88</v>
      </c>
      <c r="M219" s="2">
        <v>37.632946666666662</v>
      </c>
      <c r="N219" s="2">
        <v>141.01330666666667</v>
      </c>
      <c r="O219" s="4">
        <v>19.446000000000002</v>
      </c>
      <c r="P219" s="5">
        <v>88.4</v>
      </c>
      <c r="Q219" s="2">
        <f>6378137*ACOS(SIN(RADIANS(H219))*SIN(RADIANS(M219))+COS(RADIANS(H219))*COS(RADIANS(M219))*COS(RADIANS(I219)-RADIANS(N219)))</f>
        <v>39.965210562956173</v>
      </c>
      <c r="R219" t="s">
        <v>150</v>
      </c>
    </row>
    <row r="220" spans="1:18" x14ac:dyDescent="0.7">
      <c r="A220">
        <v>57.5</v>
      </c>
      <c r="B220" s="3">
        <v>0.50805555555555559</v>
      </c>
      <c r="C220" s="2">
        <v>37.632946666666662</v>
      </c>
      <c r="D220" s="2">
        <v>141.01332666666667</v>
      </c>
      <c r="E220" s="4">
        <v>19.446000000000002</v>
      </c>
      <c r="F220" s="5">
        <v>88.4</v>
      </c>
      <c r="G220">
        <v>-70</v>
      </c>
      <c r="H220" s="2">
        <v>37.632946666666662</v>
      </c>
      <c r="I220" s="2">
        <v>141.01285333333331</v>
      </c>
      <c r="J220" s="4">
        <v>0</v>
      </c>
      <c r="K220" s="5">
        <v>0</v>
      </c>
      <c r="L220">
        <v>-88</v>
      </c>
      <c r="M220" s="2">
        <v>37.632946666666662</v>
      </c>
      <c r="N220" s="2">
        <v>141.01330666666667</v>
      </c>
      <c r="O220" s="4">
        <v>19.446000000000002</v>
      </c>
      <c r="P220" s="5">
        <v>88.4</v>
      </c>
      <c r="Q220" s="2">
        <f>6378137*ACOS(SIN(RADIANS(H220))*SIN(RADIANS(M220))+COS(RADIANS(H220))*COS(RADIANS(M220))*COS(RADIANS(I220)-RADIANS(N220)))</f>
        <v>39.965210562956173</v>
      </c>
      <c r="R220" t="s">
        <v>150</v>
      </c>
    </row>
    <row r="221" spans="1:18" x14ac:dyDescent="0.7">
      <c r="A221">
        <v>57.5</v>
      </c>
      <c r="B221" s="3">
        <v>0.50806712962962963</v>
      </c>
      <c r="C221" s="2">
        <v>37.63294333333333</v>
      </c>
      <c r="D221" s="2">
        <v>141.01339000000002</v>
      </c>
      <c r="E221" s="4">
        <v>19.816399999999998</v>
      </c>
      <c r="F221" s="5">
        <v>89.5</v>
      </c>
      <c r="G221">
        <v>-70</v>
      </c>
      <c r="H221" s="2">
        <v>37.632946666666662</v>
      </c>
      <c r="I221" s="2">
        <v>141.01285333333331</v>
      </c>
      <c r="J221" s="4">
        <v>0</v>
      </c>
      <c r="K221" s="5">
        <v>0</v>
      </c>
      <c r="L221">
        <v>-81</v>
      </c>
      <c r="M221" s="2">
        <v>37.632946666666662</v>
      </c>
      <c r="N221" s="2">
        <v>141.01338666666666</v>
      </c>
      <c r="O221" s="4">
        <v>19.816400000000002</v>
      </c>
      <c r="P221" s="5">
        <v>89.5</v>
      </c>
      <c r="Q221" s="2">
        <f>6378137*ACOS(SIN(RADIANS(H221))*SIN(RADIANS(M221))+COS(RADIANS(H221))*COS(RADIANS(M221))*COS(RADIANS(I221)-RADIANS(N221)))</f>
        <v>47.017766813988615</v>
      </c>
      <c r="R221" t="s">
        <v>150</v>
      </c>
    </row>
    <row r="222" spans="1:18" x14ac:dyDescent="0.7">
      <c r="A222">
        <v>62.5</v>
      </c>
      <c r="B222" s="3">
        <v>0.50806712962962963</v>
      </c>
      <c r="C222" s="2">
        <v>37.63294333333333</v>
      </c>
      <c r="D222" s="2">
        <v>141.01339000000002</v>
      </c>
      <c r="E222" s="4">
        <v>19.816399999999998</v>
      </c>
      <c r="F222" s="5">
        <v>89.5</v>
      </c>
      <c r="G222">
        <v>-70</v>
      </c>
      <c r="H222" s="2">
        <v>37.632946666666662</v>
      </c>
      <c r="I222" s="2">
        <v>141.01285333333331</v>
      </c>
      <c r="J222" s="4">
        <v>0</v>
      </c>
      <c r="K222" s="5">
        <v>0</v>
      </c>
      <c r="L222">
        <v>-81</v>
      </c>
      <c r="M222" s="2">
        <v>37.632946666666662</v>
      </c>
      <c r="N222" s="2">
        <v>141.01338666666666</v>
      </c>
      <c r="O222" s="4">
        <v>19.816400000000002</v>
      </c>
      <c r="P222" s="5">
        <v>89.5</v>
      </c>
      <c r="Q222" s="2">
        <f>6378137*ACOS(SIN(RADIANS(H222))*SIN(RADIANS(M222))+COS(RADIANS(H222))*COS(RADIANS(M222))*COS(RADIANS(I222)-RADIANS(N222)))</f>
        <v>47.017766813988615</v>
      </c>
      <c r="R222" t="s">
        <v>150</v>
      </c>
    </row>
    <row r="223" spans="1:18" x14ac:dyDescent="0.7">
      <c r="A223">
        <v>67.5</v>
      </c>
      <c r="B223" s="3">
        <v>0.50807870370370367</v>
      </c>
      <c r="C223" s="2">
        <v>37.63294333333333</v>
      </c>
      <c r="D223" s="2">
        <v>141.01345166666667</v>
      </c>
      <c r="E223" s="4">
        <v>19.446000000000002</v>
      </c>
      <c r="F223" s="5">
        <v>89.5</v>
      </c>
      <c r="G223">
        <v>-70</v>
      </c>
      <c r="H223" s="2">
        <v>37.632946666666662</v>
      </c>
      <c r="I223" s="2">
        <v>141.01285333333331</v>
      </c>
      <c r="J223" s="4">
        <v>0</v>
      </c>
      <c r="K223" s="5">
        <v>0</v>
      </c>
      <c r="L223">
        <v>-87</v>
      </c>
      <c r="M223" s="2">
        <v>37.632946666666662</v>
      </c>
      <c r="N223" s="2">
        <v>141.01344</v>
      </c>
      <c r="O223" s="4">
        <v>19.446000000000002</v>
      </c>
      <c r="P223" s="5">
        <v>89.5</v>
      </c>
      <c r="Q223" s="2">
        <f>6378137*ACOS(SIN(RADIANS(H223))*SIN(RADIANS(M223))+COS(RADIANS(H223))*COS(RADIANS(M223))*COS(RADIANS(I223)-RADIANS(N223)))</f>
        <v>51.719600256789377</v>
      </c>
      <c r="R223" t="s">
        <v>150</v>
      </c>
    </row>
    <row r="224" spans="1:18" x14ac:dyDescent="0.7">
      <c r="A224">
        <v>67.5</v>
      </c>
      <c r="B224" s="3">
        <v>0.50809027777777771</v>
      </c>
      <c r="C224" s="2">
        <v>37.632941666666667</v>
      </c>
      <c r="D224" s="2">
        <v>141.01351500000001</v>
      </c>
      <c r="E224" s="4">
        <v>19.446000000000002</v>
      </c>
      <c r="F224" s="5">
        <v>88.9</v>
      </c>
      <c r="G224">
        <v>-70</v>
      </c>
      <c r="H224" s="2">
        <v>37.632946666666662</v>
      </c>
      <c r="I224" s="2">
        <v>141.01285333333331</v>
      </c>
      <c r="J224" s="4">
        <v>0</v>
      </c>
      <c r="K224" s="5">
        <v>0</v>
      </c>
      <c r="L224">
        <v>-101</v>
      </c>
      <c r="M224" s="2">
        <v>37.632939999999998</v>
      </c>
      <c r="N224" s="2">
        <v>141.01352</v>
      </c>
      <c r="O224" s="4">
        <v>19.446000000000002</v>
      </c>
      <c r="P224" s="5">
        <v>88.9</v>
      </c>
      <c r="Q224" s="2">
        <f>6378137*ACOS(SIN(RADIANS(H224))*SIN(RADIANS(M224))+COS(RADIANS(H224))*COS(RADIANS(M224))*COS(RADIANS(I224)-RADIANS(N224)))</f>
        <v>58.776785527947524</v>
      </c>
      <c r="R224" t="s">
        <v>150</v>
      </c>
    </row>
    <row r="225" spans="1:18" x14ac:dyDescent="0.7">
      <c r="A225">
        <v>72.5</v>
      </c>
      <c r="B225" s="3">
        <v>0.50809027777777771</v>
      </c>
      <c r="C225" s="2">
        <v>37.632941666666667</v>
      </c>
      <c r="D225" s="2">
        <v>141.01351500000001</v>
      </c>
      <c r="E225" s="4">
        <v>19.446000000000002</v>
      </c>
      <c r="F225" s="5">
        <v>88.9</v>
      </c>
      <c r="G225">
        <v>-70</v>
      </c>
      <c r="H225" s="2">
        <v>37.632946666666662</v>
      </c>
      <c r="I225" s="2">
        <v>141.01285333333331</v>
      </c>
      <c r="J225" s="4">
        <v>0</v>
      </c>
      <c r="K225" s="5">
        <v>0</v>
      </c>
      <c r="L225">
        <v>-101</v>
      </c>
      <c r="M225" s="2">
        <v>37.632939999999998</v>
      </c>
      <c r="N225" s="2">
        <v>141.01352</v>
      </c>
      <c r="O225" s="4">
        <v>19.446000000000002</v>
      </c>
      <c r="P225" s="5">
        <v>88.9</v>
      </c>
      <c r="Q225" s="2">
        <f>6378137*ACOS(SIN(RADIANS(H225))*SIN(RADIANS(M225))+COS(RADIANS(H225))*COS(RADIANS(M225))*COS(RADIANS(I225)-RADIANS(N225)))</f>
        <v>58.776785527947524</v>
      </c>
      <c r="R225" t="s">
        <v>150</v>
      </c>
    </row>
    <row r="226" spans="1:18" x14ac:dyDescent="0.7">
      <c r="A226">
        <v>77.5</v>
      </c>
      <c r="B226" s="3">
        <v>0.5085763888888889</v>
      </c>
      <c r="C226" s="2">
        <v>37.632910000000003</v>
      </c>
      <c r="D226" s="2">
        <v>141.01361166666666</v>
      </c>
      <c r="E226" s="4">
        <v>28.891200000000001</v>
      </c>
      <c r="F226" s="5">
        <v>270</v>
      </c>
      <c r="H226" s="2">
        <v>37.632933333333334</v>
      </c>
      <c r="I226" s="2">
        <v>141.01373333333333</v>
      </c>
      <c r="J226" s="4">
        <v>0</v>
      </c>
      <c r="K226" s="5">
        <v>0</v>
      </c>
      <c r="L226">
        <v>-72</v>
      </c>
      <c r="M226" s="2">
        <v>37.632906666666671</v>
      </c>
      <c r="N226" s="2">
        <v>141.01360000000003</v>
      </c>
      <c r="O226" s="4">
        <v>28.891200000000001</v>
      </c>
      <c r="P226" s="5">
        <v>270</v>
      </c>
      <c r="Q226" s="2">
        <f>6378137*ACOS(SIN(RADIANS(H226))*SIN(RADIANS(M226))+COS(RADIANS(H226))*COS(RADIANS(M226))*COS(RADIANS(I226)-RADIANS(N226)))</f>
        <v>12.123678860226084</v>
      </c>
    </row>
    <row r="227" spans="1:18" x14ac:dyDescent="0.7">
      <c r="A227">
        <v>57.5</v>
      </c>
      <c r="B227" s="3">
        <v>0.50952546296296297</v>
      </c>
      <c r="C227" s="2">
        <v>37.632925</v>
      </c>
      <c r="D227" s="2">
        <v>141.01336833333335</v>
      </c>
      <c r="E227" s="4">
        <v>41.4848</v>
      </c>
      <c r="F227" s="5">
        <v>89.9</v>
      </c>
      <c r="G227">
        <v>-76</v>
      </c>
      <c r="H227" s="2">
        <v>37.632960000000004</v>
      </c>
      <c r="I227" s="2">
        <v>141.01338666666666</v>
      </c>
      <c r="J227" s="4">
        <v>0</v>
      </c>
      <c r="K227" s="5">
        <v>13.9</v>
      </c>
      <c r="L227">
        <v>-90</v>
      </c>
      <c r="M227" s="2">
        <v>37.63292666666667</v>
      </c>
      <c r="N227" s="2">
        <v>141.01336000000001</v>
      </c>
      <c r="O227" s="4">
        <v>41.4848</v>
      </c>
      <c r="P227" s="5">
        <v>89.9</v>
      </c>
      <c r="Q227" s="2">
        <f>6378137*ACOS(SIN(RADIANS(H227))*SIN(RADIANS(M227))+COS(RADIANS(H227))*COS(RADIANS(M227))*COS(RADIANS(I227)-RADIANS(N227)))</f>
        <v>4.3925284222113374</v>
      </c>
    </row>
    <row r="228" spans="1:18" x14ac:dyDescent="0.7">
      <c r="A228">
        <v>72.5</v>
      </c>
      <c r="B228" s="3">
        <v>0.5100231481481482</v>
      </c>
      <c r="C228" s="2">
        <v>37.632915000000004</v>
      </c>
      <c r="D228" s="2">
        <v>141.013565</v>
      </c>
      <c r="E228" s="4">
        <v>21.1128</v>
      </c>
      <c r="F228" s="5">
        <v>270.39999999999998</v>
      </c>
      <c r="G228">
        <v>-69</v>
      </c>
      <c r="H228" s="2">
        <v>37.632953333333333</v>
      </c>
      <c r="I228" s="2">
        <v>141.01333333333332</v>
      </c>
      <c r="J228" s="4">
        <v>0</v>
      </c>
      <c r="K228" s="5">
        <v>13.9</v>
      </c>
      <c r="L228">
        <v>-54</v>
      </c>
      <c r="M228" s="2">
        <v>37.632913333333335</v>
      </c>
      <c r="N228" s="2">
        <v>141.01357333333331</v>
      </c>
      <c r="O228" s="4">
        <v>21.1128</v>
      </c>
      <c r="P228" s="5">
        <v>270.39999999999998</v>
      </c>
      <c r="Q228" s="2">
        <f>6378137*ACOS(SIN(RADIANS(H228))*SIN(RADIANS(M228))+COS(RADIANS(H228))*COS(RADIANS(M228))*COS(RADIANS(I228)-RADIANS(N228)))</f>
        <v>21.621504826602358</v>
      </c>
    </row>
    <row r="229" spans="1:18" x14ac:dyDescent="0.7">
      <c r="A229">
        <v>77.5</v>
      </c>
      <c r="B229" s="3">
        <v>0.5100231481481482</v>
      </c>
      <c r="C229" s="2">
        <v>37.632915000000004</v>
      </c>
      <c r="D229" s="2">
        <v>141.013565</v>
      </c>
      <c r="E229" s="4">
        <v>21.1128</v>
      </c>
      <c r="F229" s="5">
        <v>270.39999999999998</v>
      </c>
      <c r="G229">
        <v>-69</v>
      </c>
      <c r="H229" s="2">
        <v>37.632953333333333</v>
      </c>
      <c r="I229" s="2">
        <v>141.01333333333332</v>
      </c>
      <c r="J229" s="4">
        <v>0</v>
      </c>
      <c r="K229" s="5">
        <v>13.9</v>
      </c>
      <c r="L229">
        <v>-54</v>
      </c>
      <c r="M229" s="2">
        <v>37.632913333333335</v>
      </c>
      <c r="N229" s="2">
        <v>141.01357333333331</v>
      </c>
      <c r="O229" s="4">
        <v>21.1128</v>
      </c>
      <c r="P229" s="5">
        <v>270.39999999999998</v>
      </c>
      <c r="Q229" s="2">
        <f>6378137*ACOS(SIN(RADIANS(H229))*SIN(RADIANS(M229))+COS(RADIANS(H229))*COS(RADIANS(M229))*COS(RADIANS(I229)-RADIANS(N229)))</f>
        <v>21.621504826602358</v>
      </c>
    </row>
    <row r="230" spans="1:18" x14ac:dyDescent="0.7">
      <c r="A230">
        <v>72.5</v>
      </c>
      <c r="B230" s="3">
        <v>0.51003472222222224</v>
      </c>
      <c r="C230" s="2">
        <v>37.632915000000004</v>
      </c>
      <c r="D230" s="2">
        <v>141.01350833333333</v>
      </c>
      <c r="E230" s="4">
        <v>20.186800000000002</v>
      </c>
      <c r="F230" s="5">
        <v>270.5</v>
      </c>
      <c r="G230">
        <v>-69</v>
      </c>
      <c r="H230" s="2">
        <v>37.632953333333333</v>
      </c>
      <c r="I230" s="2">
        <v>141.01333333333332</v>
      </c>
      <c r="J230" s="4">
        <v>0</v>
      </c>
      <c r="K230" s="5">
        <v>13.9</v>
      </c>
      <c r="L230">
        <v>-55</v>
      </c>
      <c r="M230" s="2">
        <v>37.632913333333335</v>
      </c>
      <c r="N230" s="2">
        <v>141.01349333333334</v>
      </c>
      <c r="O230" s="4">
        <v>20.186800000000002</v>
      </c>
      <c r="P230" s="5">
        <v>270.5</v>
      </c>
      <c r="Q230" s="2">
        <f>6378137*ACOS(SIN(RADIANS(H230))*SIN(RADIANS(M230))+COS(RADIANS(H230))*COS(RADIANS(M230))*COS(RADIANS(I230)-RADIANS(N230)))</f>
        <v>14.791424157563041</v>
      </c>
    </row>
    <row r="231" spans="1:18" x14ac:dyDescent="0.7">
      <c r="A231">
        <v>62.5</v>
      </c>
      <c r="B231" s="3">
        <v>0.51025462962962964</v>
      </c>
      <c r="C231" s="2">
        <v>37.632925</v>
      </c>
      <c r="D231" s="2">
        <v>141.013395</v>
      </c>
      <c r="E231" s="4">
        <v>0</v>
      </c>
      <c r="F231" s="5">
        <v>268.89999999999998</v>
      </c>
      <c r="G231">
        <v>-70</v>
      </c>
      <c r="H231" s="2">
        <v>37.632960000000004</v>
      </c>
      <c r="I231" s="2">
        <v>141.01336000000001</v>
      </c>
      <c r="J231" s="4">
        <v>0</v>
      </c>
      <c r="K231" s="5">
        <v>13.9</v>
      </c>
      <c r="L231">
        <v>-61</v>
      </c>
      <c r="M231" s="2">
        <v>37.63292666666667</v>
      </c>
      <c r="N231" s="2">
        <v>141.01338666666666</v>
      </c>
      <c r="O231" s="4">
        <v>0</v>
      </c>
      <c r="P231" s="5">
        <v>268.89999999999998</v>
      </c>
      <c r="Q231" s="2">
        <f>6378137*ACOS(SIN(RADIANS(H231))*SIN(RADIANS(M231))+COS(RADIANS(H231))*COS(RADIANS(M231))*COS(RADIANS(I231)-RADIANS(N231)))</f>
        <v>4.3925284222113374</v>
      </c>
    </row>
    <row r="232" spans="1:18" x14ac:dyDescent="0.7">
      <c r="A232">
        <v>62.5</v>
      </c>
      <c r="B232" s="3">
        <v>0.51026620370370368</v>
      </c>
      <c r="C232" s="2">
        <v>37.632925</v>
      </c>
      <c r="D232" s="2">
        <v>141.01339166666668</v>
      </c>
      <c r="E232" s="4">
        <v>0</v>
      </c>
      <c r="F232" s="5">
        <v>268.89999999999998</v>
      </c>
      <c r="G232">
        <v>-70</v>
      </c>
      <c r="H232" s="2">
        <v>37.632960000000004</v>
      </c>
      <c r="I232" s="2">
        <v>141.01333333333332</v>
      </c>
      <c r="J232" s="4">
        <v>0</v>
      </c>
      <c r="K232" s="5">
        <v>13.9</v>
      </c>
      <c r="L232">
        <v>-61</v>
      </c>
      <c r="M232" s="2">
        <v>37.63292666666667</v>
      </c>
      <c r="N232" s="2">
        <v>141.01338666666666</v>
      </c>
      <c r="O232" s="4">
        <v>0</v>
      </c>
      <c r="P232" s="5">
        <v>268.89999999999998</v>
      </c>
      <c r="Q232" s="2">
        <f>6378137*ACOS(SIN(RADIANS(H232))*SIN(RADIANS(M232))+COS(RADIANS(H232))*COS(RADIANS(M232))*COS(RADIANS(I232)-RADIANS(N232)))</f>
        <v>5.9898862644006723</v>
      </c>
    </row>
    <row r="233" spans="1:18" x14ac:dyDescent="0.7">
      <c r="A233">
        <v>62.5</v>
      </c>
      <c r="B233" s="3">
        <v>0.51047453703703705</v>
      </c>
      <c r="C233" s="2">
        <v>37.632925</v>
      </c>
      <c r="D233" s="2">
        <v>141.01340333333334</v>
      </c>
      <c r="E233" s="4">
        <v>0</v>
      </c>
      <c r="F233" s="5">
        <v>268.89999999999998</v>
      </c>
      <c r="G233">
        <v>-70</v>
      </c>
      <c r="H233" s="2">
        <v>37.632960000000004</v>
      </c>
      <c r="I233" s="2">
        <v>141.01330666666667</v>
      </c>
      <c r="J233" s="4">
        <v>0</v>
      </c>
      <c r="K233" s="5">
        <v>13.9</v>
      </c>
      <c r="L233">
        <v>-105</v>
      </c>
      <c r="M233" s="2">
        <v>37.63292666666667</v>
      </c>
      <c r="N233" s="2">
        <v>141.01338666666666</v>
      </c>
      <c r="O233" s="4">
        <v>0</v>
      </c>
      <c r="P233" s="5">
        <v>268.89999999999998</v>
      </c>
      <c r="Q233" s="2">
        <f>6378137*ACOS(SIN(RADIANS(H233))*SIN(RADIANS(M233))+COS(RADIANS(H233))*COS(RADIANS(M233))*COS(RADIANS(I233)-RADIANS(N233)))</f>
        <v>7.9699094507187977</v>
      </c>
    </row>
    <row r="234" spans="1:18" x14ac:dyDescent="0.7">
      <c r="A234">
        <v>62.5</v>
      </c>
      <c r="B234" s="3">
        <v>0.51048611111111108</v>
      </c>
      <c r="C234" s="2">
        <v>37.63292666666667</v>
      </c>
      <c r="D234" s="2">
        <v>141.01339999999999</v>
      </c>
      <c r="E234" s="4">
        <v>0.18520000000000003</v>
      </c>
      <c r="F234" s="5">
        <v>268.89999999999998</v>
      </c>
      <c r="G234">
        <v>-69</v>
      </c>
      <c r="H234" s="2">
        <v>37.632960000000004</v>
      </c>
      <c r="I234" s="2">
        <v>141.01330666666667</v>
      </c>
      <c r="J234" s="4">
        <v>0</v>
      </c>
      <c r="K234" s="5">
        <v>13.9</v>
      </c>
      <c r="L234">
        <v>-57</v>
      </c>
      <c r="M234" s="2">
        <v>37.632933333333334</v>
      </c>
      <c r="N234" s="2">
        <v>141.01338666666666</v>
      </c>
      <c r="O234" s="4">
        <v>0.1852</v>
      </c>
      <c r="P234" s="5">
        <v>268.89999999999998</v>
      </c>
      <c r="Q234" s="2">
        <f>6378137*ACOS(SIN(RADIANS(H234))*SIN(RADIANS(M234))+COS(RADIANS(H234))*COS(RADIANS(M234))*COS(RADIANS(I234)-RADIANS(N234)))</f>
        <v>7.6518856197970697</v>
      </c>
    </row>
    <row r="235" spans="1:18" x14ac:dyDescent="0.7">
      <c r="A235">
        <v>62.5</v>
      </c>
      <c r="B235" s="3">
        <v>0.51049768518518512</v>
      </c>
      <c r="C235" s="2">
        <v>37.632930000000002</v>
      </c>
      <c r="D235" s="2">
        <v>141.01339666666667</v>
      </c>
      <c r="E235" s="4">
        <v>0.18520000000000003</v>
      </c>
      <c r="F235" s="5">
        <v>268.89999999999998</v>
      </c>
      <c r="G235">
        <v>-69</v>
      </c>
      <c r="H235" s="2">
        <v>37.632960000000004</v>
      </c>
      <c r="I235" s="2">
        <v>141.01330666666667</v>
      </c>
      <c r="J235" s="4">
        <v>0</v>
      </c>
      <c r="K235" s="5">
        <v>13.9</v>
      </c>
      <c r="L235">
        <v>-57</v>
      </c>
      <c r="M235" s="2">
        <v>37.632933333333334</v>
      </c>
      <c r="N235" s="2">
        <v>141.01338666666666</v>
      </c>
      <c r="O235" s="4">
        <v>0.1852</v>
      </c>
      <c r="P235" s="5">
        <v>268.89999999999998</v>
      </c>
      <c r="Q235" s="2">
        <f>6378137*ACOS(SIN(RADIANS(H235))*SIN(RADIANS(M235))+COS(RADIANS(H235))*COS(RADIANS(M235))*COS(RADIANS(I235)-RADIANS(N235)))</f>
        <v>7.6518856197970697</v>
      </c>
    </row>
    <row r="236" spans="1:18" x14ac:dyDescent="0.7">
      <c r="A236">
        <v>62.5</v>
      </c>
      <c r="B236" s="3">
        <v>0.51050925925925927</v>
      </c>
      <c r="C236" s="2">
        <v>37.632933333333334</v>
      </c>
      <c r="D236" s="2">
        <v>141.01339666666667</v>
      </c>
      <c r="E236" s="4">
        <v>0</v>
      </c>
      <c r="F236" s="5">
        <v>268.89999999999998</v>
      </c>
      <c r="G236">
        <v>-69</v>
      </c>
      <c r="H236" s="2">
        <v>37.632960000000004</v>
      </c>
      <c r="I236" s="2">
        <v>141.01330666666667</v>
      </c>
      <c r="J236" s="4">
        <v>0.1852</v>
      </c>
      <c r="K236" s="5">
        <v>13.9</v>
      </c>
      <c r="L236">
        <v>-59</v>
      </c>
      <c r="M236" s="2">
        <v>37.632933333333334</v>
      </c>
      <c r="N236" s="2">
        <v>141.01338666666666</v>
      </c>
      <c r="O236" s="4">
        <v>0</v>
      </c>
      <c r="P236" s="5">
        <v>268.89999999999998</v>
      </c>
      <c r="Q236" s="2">
        <f>6378137*ACOS(SIN(RADIANS(H236))*SIN(RADIANS(M236))+COS(RADIANS(H236))*COS(RADIANS(M236))*COS(RADIANS(I236)-RADIANS(N236)))</f>
        <v>7.6518856197970697</v>
      </c>
    </row>
    <row r="237" spans="1:18" x14ac:dyDescent="0.7">
      <c r="A237">
        <v>62.5</v>
      </c>
      <c r="B237" s="3">
        <v>0.51052083333333331</v>
      </c>
      <c r="C237" s="2">
        <v>37.632934999999996</v>
      </c>
      <c r="D237" s="2">
        <v>141.01339666666667</v>
      </c>
      <c r="E237" s="4">
        <v>0.37040000000000006</v>
      </c>
      <c r="F237" s="5">
        <v>268.89999999999998</v>
      </c>
      <c r="G237">
        <v>-69</v>
      </c>
      <c r="H237" s="2">
        <v>37.632960000000004</v>
      </c>
      <c r="I237" s="2">
        <v>141.01330666666667</v>
      </c>
      <c r="J237" s="4">
        <v>0</v>
      </c>
      <c r="K237" s="5">
        <v>13.9</v>
      </c>
      <c r="L237">
        <v>-59</v>
      </c>
      <c r="M237" s="2">
        <v>37.632933333333334</v>
      </c>
      <c r="N237" s="2">
        <v>141.01338666666666</v>
      </c>
      <c r="O237" s="4">
        <v>0.37040000000000001</v>
      </c>
      <c r="P237" s="5">
        <v>268.89999999999998</v>
      </c>
      <c r="Q237" s="2">
        <f>6378137*ACOS(SIN(RADIANS(H237))*SIN(RADIANS(M237))+COS(RADIANS(H237))*COS(RADIANS(M237))*COS(RADIANS(I237)-RADIANS(N237)))</f>
        <v>7.6518856197970697</v>
      </c>
    </row>
    <row r="238" spans="1:18" x14ac:dyDescent="0.7">
      <c r="A238">
        <v>62.5</v>
      </c>
      <c r="B238" s="3">
        <v>0.51053240740740746</v>
      </c>
      <c r="C238" s="2">
        <v>37.632938333333328</v>
      </c>
      <c r="D238" s="2">
        <v>141.013395</v>
      </c>
      <c r="E238" s="4">
        <v>0</v>
      </c>
      <c r="F238" s="5">
        <v>268.89999999999998</v>
      </c>
      <c r="G238">
        <v>-69</v>
      </c>
      <c r="H238" s="2">
        <v>37.632960000000004</v>
      </c>
      <c r="I238" s="2">
        <v>141.01330666666667</v>
      </c>
      <c r="J238" s="4">
        <v>0</v>
      </c>
      <c r="K238" s="5">
        <v>13.9</v>
      </c>
      <c r="L238">
        <v>-59</v>
      </c>
      <c r="M238" s="2">
        <v>37.632939999999998</v>
      </c>
      <c r="N238" s="2">
        <v>141.01338666666666</v>
      </c>
      <c r="O238" s="4">
        <v>0</v>
      </c>
      <c r="P238" s="5">
        <v>268.89999999999998</v>
      </c>
      <c r="Q238" s="2">
        <f>6378137*ACOS(SIN(RADIANS(H238))*SIN(RADIANS(M238))+COS(RADIANS(H238))*COS(RADIANS(M238))*COS(RADIANS(I238)-RADIANS(N238)))</f>
        <v>7.3961700786524176</v>
      </c>
    </row>
    <row r="239" spans="1:18" x14ac:dyDescent="0.7">
      <c r="A239">
        <v>62.5</v>
      </c>
      <c r="B239" s="3">
        <v>0.5105439814814815</v>
      </c>
      <c r="C239" s="2">
        <v>37.632939999999998</v>
      </c>
      <c r="D239" s="2">
        <v>141.01339166666668</v>
      </c>
      <c r="E239" s="4">
        <v>0</v>
      </c>
      <c r="F239" s="5">
        <v>268.89999999999998</v>
      </c>
      <c r="G239">
        <v>-70</v>
      </c>
      <c r="H239" s="2">
        <v>37.632966666666668</v>
      </c>
      <c r="I239" s="2">
        <v>141.01330666666667</v>
      </c>
      <c r="J239" s="4">
        <v>0</v>
      </c>
      <c r="K239" s="5">
        <v>13.9</v>
      </c>
      <c r="L239">
        <v>-59</v>
      </c>
      <c r="M239" s="2">
        <v>37.632939999999998</v>
      </c>
      <c r="N239" s="2">
        <v>141.01338666666666</v>
      </c>
      <c r="O239" s="4">
        <v>0</v>
      </c>
      <c r="P239" s="5">
        <v>268.89999999999998</v>
      </c>
      <c r="Q239" s="2">
        <f>6378137*ACOS(SIN(RADIANS(H239))*SIN(RADIANS(M239))+COS(RADIANS(H239))*COS(RADIANS(M239))*COS(RADIANS(I239)-RADIANS(N239)))</f>
        <v>7.6518856197970697</v>
      </c>
    </row>
    <row r="240" spans="1:18" x14ac:dyDescent="0.7">
      <c r="A240">
        <v>57.5</v>
      </c>
      <c r="B240" s="3">
        <v>0.51055555555555554</v>
      </c>
      <c r="C240" s="2">
        <v>37.632941666666667</v>
      </c>
      <c r="D240" s="2">
        <v>141.01338833333332</v>
      </c>
      <c r="E240" s="4">
        <v>0</v>
      </c>
      <c r="F240" s="5">
        <v>268.89999999999998</v>
      </c>
      <c r="G240">
        <v>-70</v>
      </c>
      <c r="H240" s="2">
        <v>37.632960000000004</v>
      </c>
      <c r="I240" s="2">
        <v>141.01333333333332</v>
      </c>
      <c r="J240" s="4">
        <v>0</v>
      </c>
      <c r="K240" s="5">
        <v>13.9</v>
      </c>
      <c r="L240">
        <v>-58</v>
      </c>
      <c r="M240" s="2">
        <v>37.632939999999998</v>
      </c>
      <c r="N240" s="2">
        <v>141.01338666666666</v>
      </c>
      <c r="O240" s="4">
        <v>0</v>
      </c>
      <c r="P240" s="5">
        <v>268.89999999999998</v>
      </c>
      <c r="Q240" s="2">
        <f>6378137*ACOS(SIN(RADIANS(H240))*SIN(RADIANS(M240))+COS(RADIANS(H240))*COS(RADIANS(M240))*COS(RADIANS(I240)-RADIANS(N240)))</f>
        <v>5.2021738381375418</v>
      </c>
    </row>
    <row r="241" spans="1:17" x14ac:dyDescent="0.7">
      <c r="A241">
        <v>62.5</v>
      </c>
      <c r="B241" s="3">
        <v>0.51055555555555554</v>
      </c>
      <c r="C241" s="2">
        <v>37.632941666666667</v>
      </c>
      <c r="D241" s="2">
        <v>141.01338833333332</v>
      </c>
      <c r="E241" s="4">
        <v>0</v>
      </c>
      <c r="F241" s="5">
        <v>268.89999999999998</v>
      </c>
      <c r="G241">
        <v>-70</v>
      </c>
      <c r="H241" s="2">
        <v>37.632960000000004</v>
      </c>
      <c r="I241" s="2">
        <v>141.01333333333332</v>
      </c>
      <c r="J241" s="4">
        <v>0</v>
      </c>
      <c r="K241" s="5">
        <v>13.9</v>
      </c>
      <c r="L241">
        <v>-58</v>
      </c>
      <c r="M241" s="2">
        <v>37.632939999999998</v>
      </c>
      <c r="N241" s="2">
        <v>141.01338666666666</v>
      </c>
      <c r="O241" s="4">
        <v>0</v>
      </c>
      <c r="P241" s="5">
        <v>268.89999999999998</v>
      </c>
      <c r="Q241" s="2">
        <f>6378137*ACOS(SIN(RADIANS(H241))*SIN(RADIANS(M241))+COS(RADIANS(H241))*COS(RADIANS(M241))*COS(RADIANS(I241)-RADIANS(N241)))</f>
        <v>5.2021738381375418</v>
      </c>
    </row>
    <row r="242" spans="1:17" x14ac:dyDescent="0.7">
      <c r="A242">
        <v>57.5</v>
      </c>
      <c r="B242" s="3">
        <v>0.51056712962962958</v>
      </c>
      <c r="C242" s="2">
        <v>37.63294333333333</v>
      </c>
      <c r="D242" s="2">
        <v>141.013385</v>
      </c>
      <c r="E242" s="4">
        <v>0</v>
      </c>
      <c r="F242" s="5">
        <v>268.89999999999998</v>
      </c>
      <c r="G242">
        <v>-70</v>
      </c>
      <c r="H242" s="2">
        <v>37.632960000000004</v>
      </c>
      <c r="I242" s="2">
        <v>141.01333333333332</v>
      </c>
      <c r="J242" s="4">
        <v>0</v>
      </c>
      <c r="K242" s="5">
        <v>13.9</v>
      </c>
      <c r="L242">
        <v>-60</v>
      </c>
      <c r="M242" s="2">
        <v>37.632946666666662</v>
      </c>
      <c r="N242" s="2">
        <v>141.01338666666666</v>
      </c>
      <c r="O242" s="4">
        <v>0</v>
      </c>
      <c r="P242" s="5">
        <v>268.89999999999998</v>
      </c>
      <c r="Q242" s="2">
        <f>6378137*ACOS(SIN(RADIANS(H242))*SIN(RADIANS(M242))+COS(RADIANS(H242))*COS(RADIANS(M242))*COS(RADIANS(I242)-RADIANS(N242)))</f>
        <v>4.9311871343198854</v>
      </c>
    </row>
    <row r="243" spans="1:17" x14ac:dyDescent="0.7">
      <c r="A243">
        <v>62.5</v>
      </c>
      <c r="B243" s="3">
        <v>0.51056712962962958</v>
      </c>
      <c r="C243" s="2">
        <v>37.63294333333333</v>
      </c>
      <c r="D243" s="2">
        <v>141.013385</v>
      </c>
      <c r="E243" s="4">
        <v>0</v>
      </c>
      <c r="F243" s="5">
        <v>268.89999999999998</v>
      </c>
      <c r="G243">
        <v>-70</v>
      </c>
      <c r="H243" s="2">
        <v>37.632960000000004</v>
      </c>
      <c r="I243" s="2">
        <v>141.01333333333332</v>
      </c>
      <c r="J243" s="4">
        <v>0</v>
      </c>
      <c r="K243" s="5">
        <v>13.9</v>
      </c>
      <c r="L243">
        <v>-60</v>
      </c>
      <c r="M243" s="2">
        <v>37.632946666666662</v>
      </c>
      <c r="N243" s="2">
        <v>141.01338666666666</v>
      </c>
      <c r="O243" s="4">
        <v>0</v>
      </c>
      <c r="P243" s="5">
        <v>268.89999999999998</v>
      </c>
      <c r="Q243" s="2">
        <f>6378137*ACOS(SIN(RADIANS(H243))*SIN(RADIANS(M243))+COS(RADIANS(H243))*COS(RADIANS(M243))*COS(RADIANS(I243)-RADIANS(N243)))</f>
        <v>4.9311871343198854</v>
      </c>
    </row>
    <row r="244" spans="1:17" x14ac:dyDescent="0.7">
      <c r="A244">
        <v>57.5</v>
      </c>
      <c r="B244" s="3">
        <v>0.51057870370370373</v>
      </c>
      <c r="C244" s="2">
        <v>37.632941666666667</v>
      </c>
      <c r="D244" s="2">
        <v>141.01337999999998</v>
      </c>
      <c r="E244" s="4">
        <v>0</v>
      </c>
      <c r="F244" s="5">
        <v>268.89999999999998</v>
      </c>
      <c r="G244">
        <v>-70</v>
      </c>
      <c r="H244" s="2">
        <v>37.632966666666668</v>
      </c>
      <c r="I244" s="2">
        <v>141.01333333333332</v>
      </c>
      <c r="J244" s="4">
        <v>0</v>
      </c>
      <c r="K244" s="5">
        <v>13.9</v>
      </c>
      <c r="L244">
        <v>-61</v>
      </c>
      <c r="M244" s="2">
        <v>37.632939999999998</v>
      </c>
      <c r="N244" s="2">
        <v>141.01338666666666</v>
      </c>
      <c r="O244" s="4">
        <v>0</v>
      </c>
      <c r="P244" s="5">
        <v>268.89999999999998</v>
      </c>
      <c r="Q244" s="2">
        <f>6378137*ACOS(SIN(RADIANS(H244))*SIN(RADIANS(M244))+COS(RADIANS(H244))*COS(RADIANS(M244))*COS(RADIANS(I244)-RADIANS(N244)))</f>
        <v>5.5597332971963898</v>
      </c>
    </row>
    <row r="245" spans="1:17" x14ac:dyDescent="0.7">
      <c r="A245">
        <v>62.5</v>
      </c>
      <c r="B245" s="3">
        <v>0.51057870370370373</v>
      </c>
      <c r="C245" s="2">
        <v>37.632941666666667</v>
      </c>
      <c r="D245" s="2">
        <v>141.01337999999998</v>
      </c>
      <c r="E245" s="4">
        <v>0</v>
      </c>
      <c r="F245" s="5">
        <v>268.89999999999998</v>
      </c>
      <c r="G245">
        <v>-70</v>
      </c>
      <c r="H245" s="2">
        <v>37.632966666666668</v>
      </c>
      <c r="I245" s="2">
        <v>141.01333333333332</v>
      </c>
      <c r="J245" s="4">
        <v>0</v>
      </c>
      <c r="K245" s="5">
        <v>13.9</v>
      </c>
      <c r="L245">
        <v>-61</v>
      </c>
      <c r="M245" s="2">
        <v>37.632939999999998</v>
      </c>
      <c r="N245" s="2">
        <v>141.01338666666666</v>
      </c>
      <c r="O245" s="4">
        <v>0</v>
      </c>
      <c r="P245" s="5">
        <v>268.89999999999998</v>
      </c>
      <c r="Q245" s="2">
        <f>6378137*ACOS(SIN(RADIANS(H245))*SIN(RADIANS(M245))+COS(RADIANS(H245))*COS(RADIANS(M245))*COS(RADIANS(I245)-RADIANS(N245)))</f>
        <v>5.5597332971963898</v>
      </c>
    </row>
    <row r="246" spans="1:17" x14ac:dyDescent="0.7">
      <c r="A246">
        <v>57.5</v>
      </c>
      <c r="B246" s="3">
        <v>0.51059027777777777</v>
      </c>
      <c r="C246" s="2">
        <v>37.632939999999998</v>
      </c>
      <c r="D246" s="2">
        <v>141.01337666666669</v>
      </c>
      <c r="E246" s="4">
        <v>0</v>
      </c>
      <c r="F246" s="5">
        <v>268.89999999999998</v>
      </c>
      <c r="G246">
        <v>-69</v>
      </c>
      <c r="H246" s="2">
        <v>37.632973333333332</v>
      </c>
      <c r="I246" s="2">
        <v>141.01333333333332</v>
      </c>
      <c r="J246" s="4">
        <v>0</v>
      </c>
      <c r="K246" s="5">
        <v>13.9</v>
      </c>
      <c r="L246">
        <v>-58</v>
      </c>
      <c r="M246" s="2">
        <v>37.632939999999998</v>
      </c>
      <c r="N246" s="2">
        <v>141.01336000000001</v>
      </c>
      <c r="O246" s="4">
        <v>0</v>
      </c>
      <c r="P246" s="5">
        <v>268.89999999999998</v>
      </c>
      <c r="Q246" s="2">
        <f>6378137*ACOS(SIN(RADIANS(H246))*SIN(RADIANS(M246))+COS(RADIANS(H246))*COS(RADIANS(M246))*COS(RADIANS(I246)-RADIANS(N246)))</f>
        <v>4.3925284222113374</v>
      </c>
    </row>
    <row r="247" spans="1:17" x14ac:dyDescent="0.7">
      <c r="A247">
        <v>62.5</v>
      </c>
      <c r="B247" s="3">
        <v>0.51059027777777777</v>
      </c>
      <c r="C247" s="2">
        <v>37.632939999999998</v>
      </c>
      <c r="D247" s="2">
        <v>141.01337666666669</v>
      </c>
      <c r="E247" s="4">
        <v>0</v>
      </c>
      <c r="F247" s="5">
        <v>268.89999999999998</v>
      </c>
      <c r="G247">
        <v>-69</v>
      </c>
      <c r="H247" s="2">
        <v>37.632973333333332</v>
      </c>
      <c r="I247" s="2">
        <v>141.01333333333332</v>
      </c>
      <c r="J247" s="4">
        <v>0</v>
      </c>
      <c r="K247" s="5">
        <v>13.9</v>
      </c>
      <c r="L247">
        <v>-58</v>
      </c>
      <c r="M247" s="2">
        <v>37.632939999999998</v>
      </c>
      <c r="N247" s="2">
        <v>141.01336000000001</v>
      </c>
      <c r="O247" s="4">
        <v>0</v>
      </c>
      <c r="P247" s="5">
        <v>268.89999999999998</v>
      </c>
      <c r="Q247" s="2">
        <f>6378137*ACOS(SIN(RADIANS(H247))*SIN(RADIANS(M247))+COS(RADIANS(H247))*COS(RADIANS(M247))*COS(RADIANS(I247)-RADIANS(N247)))</f>
        <v>4.3925284222113374</v>
      </c>
    </row>
    <row r="248" spans="1:17" x14ac:dyDescent="0.7">
      <c r="A248">
        <v>57.5</v>
      </c>
      <c r="B248" s="3">
        <v>0.51060185185185192</v>
      </c>
      <c r="C248" s="2">
        <v>37.632938333333328</v>
      </c>
      <c r="D248" s="2">
        <v>141.01337333333333</v>
      </c>
      <c r="E248" s="4">
        <v>0</v>
      </c>
      <c r="F248" s="5">
        <v>268.89999999999998</v>
      </c>
      <c r="G248">
        <v>-69</v>
      </c>
      <c r="H248" s="2">
        <v>37.632973333333332</v>
      </c>
      <c r="I248" s="2">
        <v>141.01333333333332</v>
      </c>
      <c r="J248" s="4">
        <v>0</v>
      </c>
      <c r="K248" s="5">
        <v>13.9</v>
      </c>
      <c r="L248">
        <v>-59</v>
      </c>
      <c r="M248" s="2">
        <v>37.632939999999998</v>
      </c>
      <c r="N248" s="2">
        <v>141.01336000000001</v>
      </c>
      <c r="O248" s="4">
        <v>0</v>
      </c>
      <c r="P248" s="5">
        <v>268.89999999999998</v>
      </c>
      <c r="Q248" s="2">
        <f>6378137*ACOS(SIN(RADIANS(H248))*SIN(RADIANS(M248))+COS(RADIANS(H248))*COS(RADIANS(M248))*COS(RADIANS(I248)-RADIANS(N248)))</f>
        <v>4.3925284222113374</v>
      </c>
    </row>
    <row r="249" spans="1:17" x14ac:dyDescent="0.7">
      <c r="A249">
        <v>62.5</v>
      </c>
      <c r="B249" s="3">
        <v>0.51060185185185192</v>
      </c>
      <c r="C249" s="2">
        <v>37.632938333333328</v>
      </c>
      <c r="D249" s="2">
        <v>141.01337333333333</v>
      </c>
      <c r="E249" s="4">
        <v>0</v>
      </c>
      <c r="F249" s="5">
        <v>268.89999999999998</v>
      </c>
      <c r="G249">
        <v>-69</v>
      </c>
      <c r="H249" s="2">
        <v>37.632973333333332</v>
      </c>
      <c r="I249" s="2">
        <v>141.01333333333332</v>
      </c>
      <c r="J249" s="4">
        <v>0</v>
      </c>
      <c r="K249" s="5">
        <v>13.9</v>
      </c>
      <c r="L249">
        <v>-59</v>
      </c>
      <c r="M249" s="2">
        <v>37.632939999999998</v>
      </c>
      <c r="N249" s="2">
        <v>141.01336000000001</v>
      </c>
      <c r="O249" s="4">
        <v>0</v>
      </c>
      <c r="P249" s="5">
        <v>268.89999999999998</v>
      </c>
      <c r="Q249" s="2">
        <f>6378137*ACOS(SIN(RADIANS(H249))*SIN(RADIANS(M249))+COS(RADIANS(H249))*COS(RADIANS(M249))*COS(RADIANS(I249)-RADIANS(N249)))</f>
        <v>4.3925284222113374</v>
      </c>
    </row>
    <row r="250" spans="1:17" x14ac:dyDescent="0.7">
      <c r="A250">
        <v>57.5</v>
      </c>
      <c r="B250" s="3">
        <v>0.51061342592592596</v>
      </c>
      <c r="C250" s="2">
        <v>37.632938333333328</v>
      </c>
      <c r="D250" s="2">
        <v>141.01337166666664</v>
      </c>
      <c r="E250" s="4">
        <v>0</v>
      </c>
      <c r="F250" s="5">
        <v>268.89999999999998</v>
      </c>
      <c r="G250">
        <v>-69</v>
      </c>
      <c r="H250" s="2">
        <v>37.632973333333332</v>
      </c>
      <c r="I250" s="2">
        <v>141.01333333333332</v>
      </c>
      <c r="J250" s="4">
        <v>0</v>
      </c>
      <c r="K250" s="5">
        <v>13.9</v>
      </c>
      <c r="L250">
        <v>-60</v>
      </c>
      <c r="M250" s="2">
        <v>37.632939999999998</v>
      </c>
      <c r="N250" s="2">
        <v>141.01336000000001</v>
      </c>
      <c r="O250" s="4">
        <v>0</v>
      </c>
      <c r="P250" s="5">
        <v>268.89999999999998</v>
      </c>
      <c r="Q250" s="2">
        <f>6378137*ACOS(SIN(RADIANS(H250))*SIN(RADIANS(M250))+COS(RADIANS(H250))*COS(RADIANS(M250))*COS(RADIANS(I250)-RADIANS(N250)))</f>
        <v>4.3925284222113374</v>
      </c>
    </row>
    <row r="251" spans="1:17" x14ac:dyDescent="0.7">
      <c r="A251">
        <v>62.5</v>
      </c>
      <c r="B251" s="3">
        <v>0.51061342592592596</v>
      </c>
      <c r="C251" s="2">
        <v>37.632938333333328</v>
      </c>
      <c r="D251" s="2">
        <v>141.01337166666664</v>
      </c>
      <c r="E251" s="4">
        <v>0</v>
      </c>
      <c r="F251" s="5">
        <v>268.89999999999998</v>
      </c>
      <c r="G251">
        <v>-69</v>
      </c>
      <c r="H251" s="2">
        <v>37.632973333333332</v>
      </c>
      <c r="I251" s="2">
        <v>141.01333333333332</v>
      </c>
      <c r="J251" s="4">
        <v>0</v>
      </c>
      <c r="K251" s="5">
        <v>13.9</v>
      </c>
      <c r="L251">
        <v>-60</v>
      </c>
      <c r="M251" s="2">
        <v>37.632939999999998</v>
      </c>
      <c r="N251" s="2">
        <v>141.01336000000001</v>
      </c>
      <c r="O251" s="4">
        <v>0</v>
      </c>
      <c r="P251" s="5">
        <v>268.89999999999998</v>
      </c>
      <c r="Q251" s="2">
        <f>6378137*ACOS(SIN(RADIANS(H251))*SIN(RADIANS(M251))+COS(RADIANS(H251))*COS(RADIANS(M251))*COS(RADIANS(I251)-RADIANS(N251)))</f>
        <v>4.3925284222113374</v>
      </c>
    </row>
    <row r="252" spans="1:17" x14ac:dyDescent="0.7">
      <c r="A252">
        <v>57.5</v>
      </c>
      <c r="B252" s="3">
        <v>0.510625</v>
      </c>
      <c r="C252" s="2">
        <v>37.632939999999998</v>
      </c>
      <c r="D252" s="2">
        <v>141.01337000000001</v>
      </c>
      <c r="E252" s="4">
        <v>0</v>
      </c>
      <c r="F252" s="5">
        <v>268.89999999999998</v>
      </c>
      <c r="G252">
        <v>-69</v>
      </c>
      <c r="H252" s="2">
        <v>37.632973333333332</v>
      </c>
      <c r="I252" s="2">
        <v>141.01333333333332</v>
      </c>
      <c r="J252" s="4">
        <v>0</v>
      </c>
      <c r="K252" s="5">
        <v>13.9</v>
      </c>
      <c r="L252">
        <v>-60</v>
      </c>
      <c r="M252" s="2">
        <v>37.632939999999998</v>
      </c>
      <c r="N252" s="2">
        <v>141.01336000000001</v>
      </c>
      <c r="O252" s="4">
        <v>0</v>
      </c>
      <c r="P252" s="5">
        <v>268.89999999999998</v>
      </c>
      <c r="Q252" s="2">
        <f>6378137*ACOS(SIN(RADIANS(H252))*SIN(RADIANS(M252))+COS(RADIANS(H252))*COS(RADIANS(M252))*COS(RADIANS(I252)-RADIANS(N252)))</f>
        <v>4.3925284222113374</v>
      </c>
    </row>
    <row r="253" spans="1:17" x14ac:dyDescent="0.7">
      <c r="A253">
        <v>57.5</v>
      </c>
      <c r="B253" s="3">
        <v>0.51063657407407403</v>
      </c>
      <c r="C253" s="2">
        <v>37.632941666666667</v>
      </c>
      <c r="D253" s="2">
        <v>141.01336833333335</v>
      </c>
      <c r="E253" s="4">
        <v>0</v>
      </c>
      <c r="F253" s="5">
        <v>268.89999999999998</v>
      </c>
      <c r="G253">
        <v>-69</v>
      </c>
      <c r="H253" s="2">
        <v>37.632973333333332</v>
      </c>
      <c r="I253" s="2">
        <v>141.01333333333332</v>
      </c>
      <c r="J253" s="4">
        <v>0</v>
      </c>
      <c r="K253" s="5">
        <v>13.9</v>
      </c>
      <c r="L253">
        <v>-60</v>
      </c>
      <c r="M253" s="2">
        <v>37.632939999999998</v>
      </c>
      <c r="N253" s="2">
        <v>141.01336000000001</v>
      </c>
      <c r="O253" s="4">
        <v>0</v>
      </c>
      <c r="P253" s="5">
        <v>268.89999999999998</v>
      </c>
      <c r="Q253" s="2">
        <f>6378137*ACOS(SIN(RADIANS(H253))*SIN(RADIANS(M253))+COS(RADIANS(H253))*COS(RADIANS(M253))*COS(RADIANS(I253)-RADIANS(N253)))</f>
        <v>4.3925284222113374</v>
      </c>
    </row>
    <row r="254" spans="1:17" x14ac:dyDescent="0.7">
      <c r="A254">
        <v>57.5</v>
      </c>
      <c r="B254" s="3">
        <v>0.51064814814814818</v>
      </c>
      <c r="C254" s="2">
        <v>37.632941666666667</v>
      </c>
      <c r="D254" s="2">
        <v>141.01336499999999</v>
      </c>
      <c r="E254" s="4">
        <v>0</v>
      </c>
      <c r="F254" s="5">
        <v>268.89999999999998</v>
      </c>
      <c r="G254">
        <v>-69</v>
      </c>
      <c r="H254" s="2">
        <v>37.632973333333332</v>
      </c>
      <c r="I254" s="2">
        <v>141.01333333333332</v>
      </c>
      <c r="J254" s="4">
        <v>0</v>
      </c>
      <c r="K254" s="5">
        <v>13.9</v>
      </c>
      <c r="L254">
        <v>-60</v>
      </c>
      <c r="M254" s="2">
        <v>37.632939999999998</v>
      </c>
      <c r="N254" s="2">
        <v>141.01338666666666</v>
      </c>
      <c r="O254" s="4">
        <v>0</v>
      </c>
      <c r="P254" s="5">
        <v>268.89999999999998</v>
      </c>
      <c r="Q254" s="2">
        <f>6378137*ACOS(SIN(RADIANS(H254))*SIN(RADIANS(M254))+COS(RADIANS(H254))*COS(RADIANS(M254))*COS(RADIANS(I254)-RADIANS(N254)))</f>
        <v>5.9898862644006723</v>
      </c>
    </row>
    <row r="255" spans="1:17" x14ac:dyDescent="0.7">
      <c r="A255">
        <v>57.5</v>
      </c>
      <c r="B255" s="3">
        <v>0.51065972222222222</v>
      </c>
      <c r="C255" s="2">
        <v>37.63294333333333</v>
      </c>
      <c r="D255" s="2">
        <v>141.01336333333333</v>
      </c>
      <c r="E255" s="4">
        <v>0</v>
      </c>
      <c r="F255" s="5">
        <v>268.89999999999998</v>
      </c>
      <c r="G255">
        <v>-70</v>
      </c>
      <c r="H255" s="2">
        <v>37.632973333333332</v>
      </c>
      <c r="I255" s="2">
        <v>141.01333333333332</v>
      </c>
      <c r="J255" s="4">
        <v>0</v>
      </c>
      <c r="K255" s="5">
        <v>13.9</v>
      </c>
      <c r="L255">
        <v>-60</v>
      </c>
      <c r="M255" s="2">
        <v>37.632946666666662</v>
      </c>
      <c r="N255" s="2">
        <v>141.01338666666666</v>
      </c>
      <c r="O255" s="4">
        <v>0</v>
      </c>
      <c r="P255" s="5">
        <v>268.89999999999998</v>
      </c>
      <c r="Q255" s="2">
        <f>6378137*ACOS(SIN(RADIANS(H255))*SIN(RADIANS(M255))+COS(RADIANS(H255))*COS(RADIANS(M255))*COS(RADIANS(I255)-RADIANS(N255)))</f>
        <v>5.5605455891810838</v>
      </c>
    </row>
    <row r="256" spans="1:17" x14ac:dyDescent="0.7">
      <c r="A256">
        <v>57.5</v>
      </c>
      <c r="B256" s="3">
        <v>0.51067129629629626</v>
      </c>
      <c r="C256" s="2">
        <v>37.63294333333333</v>
      </c>
      <c r="D256" s="2">
        <v>141.01336333333333</v>
      </c>
      <c r="E256" s="4">
        <v>0.37040000000000006</v>
      </c>
      <c r="F256" s="5">
        <v>268.89999999999998</v>
      </c>
      <c r="G256">
        <v>-69</v>
      </c>
      <c r="H256" s="2">
        <v>37.632966666666668</v>
      </c>
      <c r="I256" s="2">
        <v>141.01333333333332</v>
      </c>
      <c r="J256" s="4">
        <v>0</v>
      </c>
      <c r="K256" s="5">
        <v>13.9</v>
      </c>
      <c r="L256">
        <v>-60</v>
      </c>
      <c r="M256" s="2">
        <v>37.632946666666662</v>
      </c>
      <c r="N256" s="2">
        <v>141.01338666666666</v>
      </c>
      <c r="O256" s="4">
        <v>0.37040000000000001</v>
      </c>
      <c r="P256" s="5">
        <v>268.89999999999998</v>
      </c>
      <c r="Q256" s="2">
        <f>6378137*ACOS(SIN(RADIANS(H256))*SIN(RADIANS(M256))+COS(RADIANS(H256))*COS(RADIANS(M256))*COS(RADIANS(I256)-RADIANS(N256)))</f>
        <v>5.2021738381375418</v>
      </c>
    </row>
    <row r="257" spans="1:17" x14ac:dyDescent="0.7">
      <c r="A257">
        <v>57.5</v>
      </c>
      <c r="B257" s="3">
        <v>0.51068287037037041</v>
      </c>
      <c r="C257" s="2">
        <v>37.632941666666667</v>
      </c>
      <c r="D257" s="2">
        <v>141.01336333333333</v>
      </c>
      <c r="E257" s="4">
        <v>0</v>
      </c>
      <c r="F257" s="5">
        <v>268.89999999999998</v>
      </c>
      <c r="G257">
        <v>-70</v>
      </c>
      <c r="H257" s="2">
        <v>37.632960000000004</v>
      </c>
      <c r="I257" s="2">
        <v>141.01333333333332</v>
      </c>
      <c r="J257" s="4">
        <v>0</v>
      </c>
      <c r="K257" s="5">
        <v>13.9</v>
      </c>
      <c r="L257">
        <v>-59</v>
      </c>
      <c r="M257" s="2">
        <v>37.632939999999998</v>
      </c>
      <c r="N257" s="2">
        <v>141.01338666666666</v>
      </c>
      <c r="O257" s="4">
        <v>0</v>
      </c>
      <c r="P257" s="5">
        <v>268.89999999999998</v>
      </c>
      <c r="Q257" s="2">
        <f>6378137*ACOS(SIN(RADIANS(H257))*SIN(RADIANS(M257))+COS(RADIANS(H257))*COS(RADIANS(M257))*COS(RADIANS(I257)-RADIANS(N257)))</f>
        <v>5.2021738381375418</v>
      </c>
    </row>
    <row r="258" spans="1:17" x14ac:dyDescent="0.7">
      <c r="A258">
        <v>57.5</v>
      </c>
      <c r="B258" s="3">
        <v>0.51069444444444445</v>
      </c>
      <c r="C258" s="2">
        <v>37.632939999999998</v>
      </c>
      <c r="D258" s="2">
        <v>141.01336666666666</v>
      </c>
      <c r="E258" s="4">
        <v>0</v>
      </c>
      <c r="F258" s="5">
        <v>268.89999999999998</v>
      </c>
      <c r="G258">
        <v>-69</v>
      </c>
      <c r="H258" s="2">
        <v>37.632960000000004</v>
      </c>
      <c r="I258" s="2">
        <v>141.01330666666667</v>
      </c>
      <c r="J258" s="4">
        <v>0</v>
      </c>
      <c r="K258" s="5">
        <v>13.9</v>
      </c>
      <c r="L258">
        <v>-58</v>
      </c>
      <c r="M258" s="2">
        <v>37.632939999999998</v>
      </c>
      <c r="N258" s="2">
        <v>141.01336000000001</v>
      </c>
      <c r="O258" s="4">
        <v>0</v>
      </c>
      <c r="P258" s="5">
        <v>268.89999999999998</v>
      </c>
      <c r="Q258" s="2">
        <f>6378137*ACOS(SIN(RADIANS(H258))*SIN(RADIANS(M258))+COS(RADIANS(H258))*COS(RADIANS(M258))*COS(RADIANS(I258)-RADIANS(N258)))</f>
        <v>5.2021738381375418</v>
      </c>
    </row>
    <row r="259" spans="1:17" x14ac:dyDescent="0.7">
      <c r="A259">
        <v>57.5</v>
      </c>
      <c r="B259" s="3">
        <v>0.51070601851851849</v>
      </c>
      <c r="C259" s="2">
        <v>37.632939999999998</v>
      </c>
      <c r="D259" s="2">
        <v>141.01337000000001</v>
      </c>
      <c r="E259" s="4">
        <v>0</v>
      </c>
      <c r="F259" s="5">
        <v>268.89999999999998</v>
      </c>
      <c r="G259">
        <v>-69</v>
      </c>
      <c r="H259" s="2">
        <v>37.632960000000004</v>
      </c>
      <c r="I259" s="2">
        <v>141.01330666666667</v>
      </c>
      <c r="J259" s="4">
        <v>0</v>
      </c>
      <c r="K259" s="5">
        <v>13.9</v>
      </c>
      <c r="L259">
        <v>-57</v>
      </c>
      <c r="M259" s="2">
        <v>37.632939999999998</v>
      </c>
      <c r="N259" s="2">
        <v>141.01336000000001</v>
      </c>
      <c r="O259" s="4">
        <v>0</v>
      </c>
      <c r="P259" s="5">
        <v>268.89999999999998</v>
      </c>
      <c r="Q259" s="2">
        <f>6378137*ACOS(SIN(RADIANS(H259))*SIN(RADIANS(M259))+COS(RADIANS(H259))*COS(RADIANS(M259))*COS(RADIANS(I259)-RADIANS(N259)))</f>
        <v>5.2021738381375418</v>
      </c>
    </row>
    <row r="260" spans="1:17" x14ac:dyDescent="0.7">
      <c r="A260">
        <v>57.5</v>
      </c>
      <c r="B260" s="3">
        <v>0.51071759259259253</v>
      </c>
      <c r="C260" s="2">
        <v>37.632938333333328</v>
      </c>
      <c r="D260" s="2">
        <v>141.01337166666664</v>
      </c>
      <c r="E260" s="4">
        <v>0</v>
      </c>
      <c r="F260" s="5">
        <v>268.89999999999998</v>
      </c>
      <c r="G260">
        <v>-69</v>
      </c>
      <c r="H260" s="2">
        <v>37.632960000000004</v>
      </c>
      <c r="I260" s="2">
        <v>141.01330666666667</v>
      </c>
      <c r="J260" s="4">
        <v>0</v>
      </c>
      <c r="K260" s="5">
        <v>13.9</v>
      </c>
      <c r="L260">
        <v>-57</v>
      </c>
      <c r="M260" s="2">
        <v>37.632939999999998</v>
      </c>
      <c r="N260" s="2">
        <v>141.01336000000001</v>
      </c>
      <c r="O260" s="4">
        <v>0</v>
      </c>
      <c r="P260" s="5">
        <v>268.89999999999998</v>
      </c>
      <c r="Q260" s="2">
        <f>6378137*ACOS(SIN(RADIANS(H260))*SIN(RADIANS(M260))+COS(RADIANS(H260))*COS(RADIANS(M260))*COS(RADIANS(I260)-RADIANS(N260)))</f>
        <v>5.2021738381375418</v>
      </c>
    </row>
    <row r="261" spans="1:17" x14ac:dyDescent="0.7">
      <c r="A261">
        <v>62.5</v>
      </c>
      <c r="B261" s="3">
        <v>0.51071759259259253</v>
      </c>
      <c r="C261" s="2">
        <v>37.632938333333328</v>
      </c>
      <c r="D261" s="2">
        <v>141.01337166666664</v>
      </c>
      <c r="E261" s="4">
        <v>0</v>
      </c>
      <c r="F261" s="5">
        <v>268.89999999999998</v>
      </c>
      <c r="G261">
        <v>-69</v>
      </c>
      <c r="H261" s="2">
        <v>37.632960000000004</v>
      </c>
      <c r="I261" s="2">
        <v>141.01330666666667</v>
      </c>
      <c r="J261" s="4">
        <v>0</v>
      </c>
      <c r="K261" s="5">
        <v>13.9</v>
      </c>
      <c r="L261">
        <v>-57</v>
      </c>
      <c r="M261" s="2">
        <v>37.632939999999998</v>
      </c>
      <c r="N261" s="2">
        <v>141.01336000000001</v>
      </c>
      <c r="O261" s="4">
        <v>0</v>
      </c>
      <c r="P261" s="5">
        <v>268.89999999999998</v>
      </c>
      <c r="Q261" s="2">
        <f>6378137*ACOS(SIN(RADIANS(H261))*SIN(RADIANS(M261))+COS(RADIANS(H261))*COS(RADIANS(M261))*COS(RADIANS(I261)-RADIANS(N261)))</f>
        <v>5.2021738381375418</v>
      </c>
    </row>
    <row r="262" spans="1:17" x14ac:dyDescent="0.7">
      <c r="A262">
        <v>57.5</v>
      </c>
      <c r="B262" s="3">
        <v>0.51072916666666668</v>
      </c>
      <c r="C262" s="2">
        <v>37.632938333333328</v>
      </c>
      <c r="D262" s="2">
        <v>141.01337000000001</v>
      </c>
      <c r="E262" s="4">
        <v>0</v>
      </c>
      <c r="F262" s="5">
        <v>268.89999999999998</v>
      </c>
      <c r="G262">
        <v>-70</v>
      </c>
      <c r="H262" s="2">
        <v>37.632960000000004</v>
      </c>
      <c r="I262" s="2">
        <v>141.01330666666667</v>
      </c>
      <c r="J262" s="4">
        <v>0</v>
      </c>
      <c r="K262" s="5">
        <v>13.9</v>
      </c>
      <c r="L262">
        <v>-58</v>
      </c>
      <c r="M262" s="2">
        <v>37.632939999999998</v>
      </c>
      <c r="N262" s="2">
        <v>141.01336000000001</v>
      </c>
      <c r="O262" s="4">
        <v>0</v>
      </c>
      <c r="P262" s="5">
        <v>268.89999999999998</v>
      </c>
      <c r="Q262" s="2">
        <f>6378137*ACOS(SIN(RADIANS(H262))*SIN(RADIANS(M262))+COS(RADIANS(H262))*COS(RADIANS(M262))*COS(RADIANS(I262)-RADIANS(N262)))</f>
        <v>5.2021738381375418</v>
      </c>
    </row>
    <row r="263" spans="1:17" x14ac:dyDescent="0.7">
      <c r="A263">
        <v>57.5</v>
      </c>
      <c r="B263" s="3">
        <v>0.51074074074074072</v>
      </c>
      <c r="C263" s="2">
        <v>37.632939999999998</v>
      </c>
      <c r="D263" s="2">
        <v>141.01337166666664</v>
      </c>
      <c r="E263" s="4">
        <v>0</v>
      </c>
      <c r="F263" s="5">
        <v>268.89999999999998</v>
      </c>
      <c r="G263">
        <v>-70</v>
      </c>
      <c r="H263" s="2">
        <v>37.632960000000004</v>
      </c>
      <c r="I263" s="2">
        <v>141.01330666666667</v>
      </c>
      <c r="J263" s="4">
        <v>0</v>
      </c>
      <c r="K263" s="5">
        <v>13.9</v>
      </c>
      <c r="L263">
        <v>-58</v>
      </c>
      <c r="M263" s="2">
        <v>37.632939999999998</v>
      </c>
      <c r="N263" s="2">
        <v>141.01336000000001</v>
      </c>
      <c r="O263" s="4">
        <v>0</v>
      </c>
      <c r="P263" s="5">
        <v>268.89999999999998</v>
      </c>
      <c r="Q263" s="2">
        <f>6378137*ACOS(SIN(RADIANS(H263))*SIN(RADIANS(M263))+COS(RADIANS(H263))*COS(RADIANS(M263))*COS(RADIANS(I263)-RADIANS(N263)))</f>
        <v>5.2021738381375418</v>
      </c>
    </row>
    <row r="264" spans="1:17" x14ac:dyDescent="0.7">
      <c r="A264">
        <v>62.5</v>
      </c>
      <c r="B264" s="3">
        <v>0.51074074074074072</v>
      </c>
      <c r="C264" s="2">
        <v>37.632939999999998</v>
      </c>
      <c r="D264" s="2">
        <v>141.01337166666664</v>
      </c>
      <c r="E264" s="4">
        <v>0</v>
      </c>
      <c r="F264" s="5">
        <v>268.89999999999998</v>
      </c>
      <c r="G264">
        <v>-70</v>
      </c>
      <c r="H264" s="2">
        <v>37.632960000000004</v>
      </c>
      <c r="I264" s="2">
        <v>141.01330666666667</v>
      </c>
      <c r="J264" s="4">
        <v>0</v>
      </c>
      <c r="K264" s="5">
        <v>13.9</v>
      </c>
      <c r="L264">
        <v>-58</v>
      </c>
      <c r="M264" s="2">
        <v>37.632939999999998</v>
      </c>
      <c r="N264" s="2">
        <v>141.01336000000001</v>
      </c>
      <c r="O264" s="4">
        <v>0</v>
      </c>
      <c r="P264" s="5">
        <v>268.89999999999998</v>
      </c>
      <c r="Q264" s="2">
        <f>6378137*ACOS(SIN(RADIANS(H264))*SIN(RADIANS(M264))+COS(RADIANS(H264))*COS(RADIANS(M264))*COS(RADIANS(I264)-RADIANS(N264)))</f>
        <v>5.2021738381375418</v>
      </c>
    </row>
    <row r="265" spans="1:17" x14ac:dyDescent="0.7">
      <c r="A265">
        <v>57.5</v>
      </c>
      <c r="B265" s="3">
        <v>0.51075231481481487</v>
      </c>
      <c r="C265" s="2">
        <v>37.632941666666667</v>
      </c>
      <c r="D265" s="2">
        <v>141.013375</v>
      </c>
      <c r="E265" s="4">
        <v>0.37040000000000006</v>
      </c>
      <c r="F265" s="5">
        <v>268.89999999999998</v>
      </c>
      <c r="G265">
        <v>-70</v>
      </c>
      <c r="H265" s="2">
        <v>37.632953333333333</v>
      </c>
      <c r="I265" s="2">
        <v>141.01330666666667</v>
      </c>
      <c r="J265" s="4">
        <v>0</v>
      </c>
      <c r="K265" s="5">
        <v>13.9</v>
      </c>
      <c r="L265">
        <v>-58</v>
      </c>
      <c r="M265" s="2">
        <v>37.632939999999998</v>
      </c>
      <c r="N265" s="2">
        <v>141.01336000000001</v>
      </c>
      <c r="O265" s="4">
        <v>0.37040000000000001</v>
      </c>
      <c r="P265" s="5">
        <v>268.89999999999998</v>
      </c>
      <c r="Q265" s="2">
        <f>6378137*ACOS(SIN(RADIANS(H265))*SIN(RADIANS(M265))+COS(RADIANS(H265))*COS(RADIANS(M265))*COS(RADIANS(I265)-RADIANS(N265)))</f>
        <v>4.92935500171059</v>
      </c>
    </row>
    <row r="266" spans="1:17" x14ac:dyDescent="0.7">
      <c r="A266">
        <v>62.5</v>
      </c>
      <c r="B266" s="3">
        <v>0.51075231481481487</v>
      </c>
      <c r="C266" s="2">
        <v>37.632941666666667</v>
      </c>
      <c r="D266" s="2">
        <v>141.013375</v>
      </c>
      <c r="E266" s="4">
        <v>0.37040000000000006</v>
      </c>
      <c r="F266" s="5">
        <v>268.89999999999998</v>
      </c>
      <c r="G266">
        <v>-70</v>
      </c>
      <c r="H266" s="2">
        <v>37.632953333333333</v>
      </c>
      <c r="I266" s="2">
        <v>141.01330666666667</v>
      </c>
      <c r="J266" s="4">
        <v>0</v>
      </c>
      <c r="K266" s="5">
        <v>13.9</v>
      </c>
      <c r="L266">
        <v>-58</v>
      </c>
      <c r="M266" s="2">
        <v>37.632939999999998</v>
      </c>
      <c r="N266" s="2">
        <v>141.01336000000001</v>
      </c>
      <c r="O266" s="4">
        <v>0.37040000000000001</v>
      </c>
      <c r="P266" s="5">
        <v>268.89999999999998</v>
      </c>
      <c r="Q266" s="2">
        <f>6378137*ACOS(SIN(RADIANS(H266))*SIN(RADIANS(M266))+COS(RADIANS(H266))*COS(RADIANS(M266))*COS(RADIANS(I266)-RADIANS(N266)))</f>
        <v>4.92935500171059</v>
      </c>
    </row>
    <row r="267" spans="1:17" x14ac:dyDescent="0.7">
      <c r="A267">
        <v>57.5</v>
      </c>
      <c r="B267" s="3">
        <v>0.51076388888888891</v>
      </c>
      <c r="C267" s="2">
        <v>37.632941666666667</v>
      </c>
      <c r="D267" s="2">
        <v>141.01337666666669</v>
      </c>
      <c r="E267" s="4">
        <v>0</v>
      </c>
      <c r="F267" s="5">
        <v>268.89999999999998</v>
      </c>
      <c r="G267">
        <v>-69</v>
      </c>
      <c r="H267" s="2">
        <v>37.632953333333333</v>
      </c>
      <c r="I267" s="2">
        <v>141.01333333333332</v>
      </c>
      <c r="J267" s="4">
        <v>0</v>
      </c>
      <c r="K267" s="5">
        <v>13.9</v>
      </c>
      <c r="L267">
        <v>-58</v>
      </c>
      <c r="M267" s="2">
        <v>37.632939999999998</v>
      </c>
      <c r="N267" s="2">
        <v>141.01336000000001</v>
      </c>
      <c r="O267" s="4">
        <v>0</v>
      </c>
      <c r="P267" s="5">
        <v>268.89999999999998</v>
      </c>
      <c r="Q267" s="2">
        <f>6378137*ACOS(SIN(RADIANS(H267))*SIN(RADIANS(M267))+COS(RADIANS(H267))*COS(RADIANS(M267))*COS(RADIANS(I267)-RADIANS(N267)))</f>
        <v>2.7790541781684066</v>
      </c>
    </row>
    <row r="268" spans="1:17" x14ac:dyDescent="0.7">
      <c r="A268">
        <v>62.5</v>
      </c>
      <c r="B268" s="3">
        <v>0.51076388888888891</v>
      </c>
      <c r="C268" s="2">
        <v>37.632941666666667</v>
      </c>
      <c r="D268" s="2">
        <v>141.01337666666669</v>
      </c>
      <c r="E268" s="4">
        <v>0</v>
      </c>
      <c r="F268" s="5">
        <v>268.89999999999998</v>
      </c>
      <c r="G268">
        <v>-69</v>
      </c>
      <c r="H268" s="2">
        <v>37.632953333333333</v>
      </c>
      <c r="I268" s="2">
        <v>141.01333333333332</v>
      </c>
      <c r="J268" s="4">
        <v>0</v>
      </c>
      <c r="K268" s="5">
        <v>13.9</v>
      </c>
      <c r="L268">
        <v>-58</v>
      </c>
      <c r="M268" s="2">
        <v>37.632939999999998</v>
      </c>
      <c r="N268" s="2">
        <v>141.01336000000001</v>
      </c>
      <c r="O268" s="4">
        <v>0</v>
      </c>
      <c r="P268" s="5">
        <v>268.89999999999998</v>
      </c>
      <c r="Q268" s="2">
        <f>6378137*ACOS(SIN(RADIANS(H268))*SIN(RADIANS(M268))+COS(RADIANS(H268))*COS(RADIANS(M268))*COS(RADIANS(I268)-RADIANS(N268)))</f>
        <v>2.7790541781684066</v>
      </c>
    </row>
    <row r="269" spans="1:17" x14ac:dyDescent="0.7">
      <c r="A269">
        <v>57.5</v>
      </c>
      <c r="B269" s="3">
        <v>0.51077546296296295</v>
      </c>
      <c r="C269" s="2">
        <v>37.63294333333333</v>
      </c>
      <c r="D269" s="2">
        <v>141.01337666666669</v>
      </c>
      <c r="E269" s="4">
        <v>0</v>
      </c>
      <c r="F269" s="5">
        <v>268.89999999999998</v>
      </c>
      <c r="G269">
        <v>-69</v>
      </c>
      <c r="H269" s="2">
        <v>37.632953333333333</v>
      </c>
      <c r="I269" s="2">
        <v>141.01330666666667</v>
      </c>
      <c r="J269" s="4">
        <v>0</v>
      </c>
      <c r="K269" s="5">
        <v>13.9</v>
      </c>
      <c r="L269">
        <v>-58</v>
      </c>
      <c r="M269" s="2">
        <v>37.632946666666662</v>
      </c>
      <c r="N269" s="2">
        <v>141.01336000000001</v>
      </c>
      <c r="O269" s="4">
        <v>0</v>
      </c>
      <c r="P269" s="5">
        <v>268.89999999999998</v>
      </c>
      <c r="Q269" s="2">
        <f>6378137*ACOS(SIN(RADIANS(H269))*SIN(RADIANS(M269))+COS(RADIANS(H269))*COS(RADIANS(M269))*COS(RADIANS(I269)-RADIANS(N269)))</f>
        <v>4.7596796365083796</v>
      </c>
    </row>
    <row r="270" spans="1:17" x14ac:dyDescent="0.7">
      <c r="A270">
        <v>62.5</v>
      </c>
      <c r="B270" s="3">
        <v>0.51077546296296295</v>
      </c>
      <c r="C270" s="2">
        <v>37.63294333333333</v>
      </c>
      <c r="D270" s="2">
        <v>141.01337666666669</v>
      </c>
      <c r="E270" s="4">
        <v>0</v>
      </c>
      <c r="F270" s="5">
        <v>268.89999999999998</v>
      </c>
      <c r="G270">
        <v>-69</v>
      </c>
      <c r="H270" s="2">
        <v>37.632953333333333</v>
      </c>
      <c r="I270" s="2">
        <v>141.01330666666667</v>
      </c>
      <c r="J270" s="4">
        <v>0</v>
      </c>
      <c r="K270" s="5">
        <v>13.9</v>
      </c>
      <c r="L270">
        <v>-58</v>
      </c>
      <c r="M270" s="2">
        <v>37.632946666666662</v>
      </c>
      <c r="N270" s="2">
        <v>141.01336000000001</v>
      </c>
      <c r="O270" s="4">
        <v>0</v>
      </c>
      <c r="P270" s="5">
        <v>268.89999999999998</v>
      </c>
      <c r="Q270" s="2">
        <f>6378137*ACOS(SIN(RADIANS(H270))*SIN(RADIANS(M270))+COS(RADIANS(H270))*COS(RADIANS(M270))*COS(RADIANS(I270)-RADIANS(N270)))</f>
        <v>4.7596796365083796</v>
      </c>
    </row>
    <row r="271" spans="1:17" x14ac:dyDescent="0.7">
      <c r="A271">
        <v>57.5</v>
      </c>
      <c r="B271" s="3">
        <v>0.51078703703703698</v>
      </c>
      <c r="C271" s="2">
        <v>37.632941666666667</v>
      </c>
      <c r="D271" s="2">
        <v>141.013375</v>
      </c>
      <c r="E271" s="4">
        <v>0.37040000000000006</v>
      </c>
      <c r="F271" s="5">
        <v>268.89999999999998</v>
      </c>
      <c r="G271">
        <v>-69</v>
      </c>
      <c r="H271" s="2">
        <v>37.632953333333333</v>
      </c>
      <c r="I271" s="2">
        <v>141.01330666666667</v>
      </c>
      <c r="J271" s="4">
        <v>0</v>
      </c>
      <c r="K271" s="5">
        <v>13.9</v>
      </c>
      <c r="L271">
        <v>-59</v>
      </c>
      <c r="M271" s="2">
        <v>37.632939999999998</v>
      </c>
      <c r="N271" s="2">
        <v>141.01336000000001</v>
      </c>
      <c r="O271" s="4">
        <v>0.37040000000000001</v>
      </c>
      <c r="P271" s="5">
        <v>268.89999999999998</v>
      </c>
      <c r="Q271" s="2">
        <f>6378137*ACOS(SIN(RADIANS(H271))*SIN(RADIANS(M271))+COS(RADIANS(H271))*COS(RADIANS(M271))*COS(RADIANS(I271)-RADIANS(N271)))</f>
        <v>4.92935500171059</v>
      </c>
    </row>
    <row r="272" spans="1:17" x14ac:dyDescent="0.7">
      <c r="A272">
        <v>62.5</v>
      </c>
      <c r="B272" s="3">
        <v>0.51078703703703698</v>
      </c>
      <c r="C272" s="2">
        <v>37.632941666666667</v>
      </c>
      <c r="D272" s="2">
        <v>141.013375</v>
      </c>
      <c r="E272" s="4">
        <v>0.37040000000000006</v>
      </c>
      <c r="F272" s="5">
        <v>268.89999999999998</v>
      </c>
      <c r="G272">
        <v>-69</v>
      </c>
      <c r="H272" s="2">
        <v>37.632953333333333</v>
      </c>
      <c r="I272" s="2">
        <v>141.01330666666667</v>
      </c>
      <c r="J272" s="4">
        <v>0</v>
      </c>
      <c r="K272" s="5">
        <v>13.9</v>
      </c>
      <c r="L272">
        <v>-59</v>
      </c>
      <c r="M272" s="2">
        <v>37.632939999999998</v>
      </c>
      <c r="N272" s="2">
        <v>141.01336000000001</v>
      </c>
      <c r="O272" s="4">
        <v>0.37040000000000001</v>
      </c>
      <c r="P272" s="5">
        <v>268.89999999999998</v>
      </c>
      <c r="Q272" s="2">
        <f>6378137*ACOS(SIN(RADIANS(H272))*SIN(RADIANS(M272))+COS(RADIANS(H272))*COS(RADIANS(M272))*COS(RADIANS(I272)-RADIANS(N272)))</f>
        <v>4.92935500171059</v>
      </c>
    </row>
    <row r="273" spans="1:17" x14ac:dyDescent="0.7">
      <c r="A273">
        <v>57.5</v>
      </c>
      <c r="B273" s="3">
        <v>0.51079861111111113</v>
      </c>
      <c r="C273" s="2">
        <v>37.632939999999998</v>
      </c>
      <c r="D273" s="2">
        <v>141.01337666666669</v>
      </c>
      <c r="E273" s="4">
        <v>0.37040000000000006</v>
      </c>
      <c r="F273" s="5">
        <v>268.89999999999998</v>
      </c>
      <c r="G273">
        <v>-70</v>
      </c>
      <c r="H273" s="2">
        <v>37.632946666666662</v>
      </c>
      <c r="I273" s="2">
        <v>141.01330666666667</v>
      </c>
      <c r="J273" s="4">
        <v>0</v>
      </c>
      <c r="K273" s="5">
        <v>13.9</v>
      </c>
      <c r="L273">
        <v>-60</v>
      </c>
      <c r="M273" s="2">
        <v>37.632939999999998</v>
      </c>
      <c r="N273" s="2">
        <v>141.01336000000001</v>
      </c>
      <c r="O273" s="4">
        <v>0.37040000000000001</v>
      </c>
      <c r="P273" s="5">
        <v>268.89999999999998</v>
      </c>
      <c r="Q273" s="2">
        <f>6378137*ACOS(SIN(RADIANS(H273))*SIN(RADIANS(M273))+COS(RADIANS(H273))*COS(RADIANS(M273))*COS(RADIANS(I273)-RADIANS(N273)))</f>
        <v>4.7596796365083796</v>
      </c>
    </row>
    <row r="274" spans="1:17" x14ac:dyDescent="0.7">
      <c r="A274">
        <v>62.5</v>
      </c>
      <c r="B274" s="3">
        <v>0.51079861111111113</v>
      </c>
      <c r="C274" s="2">
        <v>37.632939999999998</v>
      </c>
      <c r="D274" s="2">
        <v>141.01337666666669</v>
      </c>
      <c r="E274" s="4">
        <v>0.37040000000000006</v>
      </c>
      <c r="F274" s="5">
        <v>268.89999999999998</v>
      </c>
      <c r="G274">
        <v>-70</v>
      </c>
      <c r="H274" s="2">
        <v>37.632946666666662</v>
      </c>
      <c r="I274" s="2">
        <v>141.01330666666667</v>
      </c>
      <c r="J274" s="4">
        <v>0</v>
      </c>
      <c r="K274" s="5">
        <v>13.9</v>
      </c>
      <c r="L274">
        <v>-60</v>
      </c>
      <c r="M274" s="2">
        <v>37.632939999999998</v>
      </c>
      <c r="N274" s="2">
        <v>141.01336000000001</v>
      </c>
      <c r="O274" s="4">
        <v>0.37040000000000001</v>
      </c>
      <c r="P274" s="5">
        <v>268.89999999999998</v>
      </c>
      <c r="Q274" s="2">
        <f>6378137*ACOS(SIN(RADIANS(H274))*SIN(RADIANS(M274))+COS(RADIANS(H274))*COS(RADIANS(M274))*COS(RADIANS(I274)-RADIANS(N274)))</f>
        <v>4.7596796365083796</v>
      </c>
    </row>
    <row r="275" spans="1:17" x14ac:dyDescent="0.7">
      <c r="A275">
        <v>57.5</v>
      </c>
      <c r="B275" s="3">
        <v>0.51081018518518517</v>
      </c>
      <c r="C275" s="2">
        <v>37.632938333333328</v>
      </c>
      <c r="D275" s="2">
        <v>141.01337833333335</v>
      </c>
      <c r="E275" s="4">
        <v>0</v>
      </c>
      <c r="F275" s="5">
        <v>268.89999999999998</v>
      </c>
      <c r="G275">
        <v>-70</v>
      </c>
      <c r="H275" s="2">
        <v>37.632953333333333</v>
      </c>
      <c r="I275" s="2">
        <v>141.01330666666667</v>
      </c>
      <c r="J275" s="4">
        <v>0</v>
      </c>
      <c r="K275" s="5">
        <v>13.9</v>
      </c>
      <c r="L275">
        <v>-60</v>
      </c>
      <c r="M275" s="2">
        <v>37.632939999999998</v>
      </c>
      <c r="N275" s="2">
        <v>141.01336000000001</v>
      </c>
      <c r="O275" s="4">
        <v>0</v>
      </c>
      <c r="P275" s="5">
        <v>268.89999999999998</v>
      </c>
      <c r="Q275" s="2">
        <f>6378137*ACOS(SIN(RADIANS(H275))*SIN(RADIANS(M275))+COS(RADIANS(H275))*COS(RADIANS(M275))*COS(RADIANS(I275)-RADIANS(N275)))</f>
        <v>4.92935500171059</v>
      </c>
    </row>
    <row r="276" spans="1:17" x14ac:dyDescent="0.7">
      <c r="A276">
        <v>62.5</v>
      </c>
      <c r="B276" s="3">
        <v>0.51081018518518517</v>
      </c>
      <c r="C276" s="2">
        <v>37.632938333333328</v>
      </c>
      <c r="D276" s="2">
        <v>141.01337833333335</v>
      </c>
      <c r="E276" s="4">
        <v>0</v>
      </c>
      <c r="F276" s="5">
        <v>268.89999999999998</v>
      </c>
      <c r="G276">
        <v>-70</v>
      </c>
      <c r="H276" s="2">
        <v>37.632953333333333</v>
      </c>
      <c r="I276" s="2">
        <v>141.01330666666667</v>
      </c>
      <c r="J276" s="4">
        <v>0</v>
      </c>
      <c r="K276" s="5">
        <v>13.9</v>
      </c>
      <c r="L276">
        <v>-60</v>
      </c>
      <c r="M276" s="2">
        <v>37.632939999999998</v>
      </c>
      <c r="N276" s="2">
        <v>141.01336000000001</v>
      </c>
      <c r="O276" s="4">
        <v>0</v>
      </c>
      <c r="P276" s="5">
        <v>268.89999999999998</v>
      </c>
      <c r="Q276" s="2">
        <f>6378137*ACOS(SIN(RADIANS(H276))*SIN(RADIANS(M276))+COS(RADIANS(H276))*COS(RADIANS(M276))*COS(RADIANS(I276)-RADIANS(N276)))</f>
        <v>4.92935500171059</v>
      </c>
    </row>
    <row r="277" spans="1:17" x14ac:dyDescent="0.7">
      <c r="A277">
        <v>57.5</v>
      </c>
      <c r="B277" s="3">
        <v>0.51082175925925932</v>
      </c>
      <c r="C277" s="2">
        <v>37.632939999999998</v>
      </c>
      <c r="D277" s="2">
        <v>141.01337666666669</v>
      </c>
      <c r="E277" s="4">
        <v>0.37040000000000006</v>
      </c>
      <c r="F277" s="5">
        <v>268.89999999999998</v>
      </c>
      <c r="G277">
        <v>-69</v>
      </c>
      <c r="H277" s="2">
        <v>37.632946666666662</v>
      </c>
      <c r="I277" s="2">
        <v>141.01330666666667</v>
      </c>
      <c r="J277" s="4">
        <v>0</v>
      </c>
      <c r="K277" s="5">
        <v>13.9</v>
      </c>
      <c r="L277">
        <v>-59</v>
      </c>
      <c r="M277" s="2">
        <v>37.632939999999998</v>
      </c>
      <c r="N277" s="2">
        <v>141.01336000000001</v>
      </c>
      <c r="O277" s="4">
        <v>0.37040000000000001</v>
      </c>
      <c r="P277" s="5">
        <v>268.89999999999998</v>
      </c>
      <c r="Q277" s="2">
        <f>6378137*ACOS(SIN(RADIANS(H277))*SIN(RADIANS(M277))+COS(RADIANS(H277))*COS(RADIANS(M277))*COS(RADIANS(I277)-RADIANS(N277)))</f>
        <v>4.7596796365083796</v>
      </c>
    </row>
    <row r="278" spans="1:17" x14ac:dyDescent="0.7">
      <c r="A278">
        <v>62.5</v>
      </c>
      <c r="B278" s="3">
        <v>0.51082175925925932</v>
      </c>
      <c r="C278" s="2">
        <v>37.632939999999998</v>
      </c>
      <c r="D278" s="2">
        <v>141.01337666666669</v>
      </c>
      <c r="E278" s="4">
        <v>0.37040000000000006</v>
      </c>
      <c r="F278" s="5">
        <v>268.89999999999998</v>
      </c>
      <c r="G278">
        <v>-69</v>
      </c>
      <c r="H278" s="2">
        <v>37.632946666666662</v>
      </c>
      <c r="I278" s="2">
        <v>141.01330666666667</v>
      </c>
      <c r="J278" s="4">
        <v>0</v>
      </c>
      <c r="K278" s="5">
        <v>13.9</v>
      </c>
      <c r="L278">
        <v>-59</v>
      </c>
      <c r="M278" s="2">
        <v>37.632939999999998</v>
      </c>
      <c r="N278" s="2">
        <v>141.01336000000001</v>
      </c>
      <c r="O278" s="4">
        <v>0.37040000000000001</v>
      </c>
      <c r="P278" s="5">
        <v>268.89999999999998</v>
      </c>
      <c r="Q278" s="2">
        <f>6378137*ACOS(SIN(RADIANS(H278))*SIN(RADIANS(M278))+COS(RADIANS(H278))*COS(RADIANS(M278))*COS(RADIANS(I278)-RADIANS(N278)))</f>
        <v>4.7596796365083796</v>
      </c>
    </row>
    <row r="279" spans="1:17" x14ac:dyDescent="0.7">
      <c r="A279">
        <v>57.5</v>
      </c>
      <c r="B279" s="3">
        <v>0.51083333333333336</v>
      </c>
      <c r="C279" s="2">
        <v>37.632941666666667</v>
      </c>
      <c r="D279" s="2">
        <v>141.01337166666664</v>
      </c>
      <c r="E279" s="4">
        <v>0.55559999999999998</v>
      </c>
      <c r="F279" s="5">
        <v>268.89999999999998</v>
      </c>
      <c r="G279">
        <v>-69</v>
      </c>
      <c r="H279" s="2">
        <v>37.632946666666662</v>
      </c>
      <c r="I279" s="2">
        <v>141.01330666666667</v>
      </c>
      <c r="J279" s="4">
        <v>0</v>
      </c>
      <c r="K279" s="5">
        <v>13.9</v>
      </c>
      <c r="L279">
        <v>-58</v>
      </c>
      <c r="M279" s="2">
        <v>37.632939999999998</v>
      </c>
      <c r="N279" s="2">
        <v>141.01336000000001</v>
      </c>
      <c r="O279" s="4">
        <v>0.55559999999999998</v>
      </c>
      <c r="P279" s="5">
        <v>268.89999999999998</v>
      </c>
      <c r="Q279" s="2">
        <f>6378137*ACOS(SIN(RADIANS(H279))*SIN(RADIANS(M279))+COS(RADIANS(H279))*COS(RADIANS(M279))*COS(RADIANS(I279)-RADIANS(N279)))</f>
        <v>4.7596796365083796</v>
      </c>
    </row>
    <row r="280" spans="1:17" x14ac:dyDescent="0.7">
      <c r="A280">
        <v>62.5</v>
      </c>
      <c r="B280" s="3">
        <v>0.51083333333333336</v>
      </c>
      <c r="C280" s="2">
        <v>37.632941666666667</v>
      </c>
      <c r="D280" s="2">
        <v>141.01337166666664</v>
      </c>
      <c r="E280" s="4">
        <v>0.55559999999999998</v>
      </c>
      <c r="F280" s="5">
        <v>268.89999999999998</v>
      </c>
      <c r="G280">
        <v>-69</v>
      </c>
      <c r="H280" s="2">
        <v>37.632946666666662</v>
      </c>
      <c r="I280" s="2">
        <v>141.01330666666667</v>
      </c>
      <c r="J280" s="4">
        <v>0</v>
      </c>
      <c r="K280" s="5">
        <v>13.9</v>
      </c>
      <c r="L280">
        <v>-58</v>
      </c>
      <c r="M280" s="2">
        <v>37.632939999999998</v>
      </c>
      <c r="N280" s="2">
        <v>141.01336000000001</v>
      </c>
      <c r="O280" s="4">
        <v>0.55559999999999998</v>
      </c>
      <c r="P280" s="5">
        <v>268.89999999999998</v>
      </c>
      <c r="Q280" s="2">
        <f>6378137*ACOS(SIN(RADIANS(H280))*SIN(RADIANS(M280))+COS(RADIANS(H280))*COS(RADIANS(M280))*COS(RADIANS(I280)-RADIANS(N280)))</f>
        <v>4.7596796365083796</v>
      </c>
    </row>
    <row r="281" spans="1:17" x14ac:dyDescent="0.7">
      <c r="A281">
        <v>57.5</v>
      </c>
      <c r="B281" s="3">
        <v>0.5108449074074074</v>
      </c>
      <c r="C281" s="2">
        <v>37.632941666666667</v>
      </c>
      <c r="D281" s="2">
        <v>141.01336833333335</v>
      </c>
      <c r="E281" s="4">
        <v>0</v>
      </c>
      <c r="F281" s="5">
        <v>268.89999999999998</v>
      </c>
      <c r="G281">
        <v>-70</v>
      </c>
      <c r="H281" s="2">
        <v>37.632946666666662</v>
      </c>
      <c r="I281" s="2">
        <v>141.01330666666667</v>
      </c>
      <c r="J281" s="4">
        <v>0</v>
      </c>
      <c r="K281" s="5">
        <v>13.9</v>
      </c>
      <c r="L281">
        <v>-58</v>
      </c>
      <c r="M281" s="2">
        <v>37.632939999999998</v>
      </c>
      <c r="N281" s="2">
        <v>141.01336000000001</v>
      </c>
      <c r="O281" s="4">
        <v>0</v>
      </c>
      <c r="P281" s="5">
        <v>268.89999999999998</v>
      </c>
      <c r="Q281" s="2">
        <f>6378137*ACOS(SIN(RADIANS(H281))*SIN(RADIANS(M281))+COS(RADIANS(H281))*COS(RADIANS(M281))*COS(RADIANS(I281)-RADIANS(N281)))</f>
        <v>4.7596796365083796</v>
      </c>
    </row>
    <row r="282" spans="1:17" x14ac:dyDescent="0.7">
      <c r="A282">
        <v>57.5</v>
      </c>
      <c r="B282" s="3">
        <v>0.51085648148148144</v>
      </c>
      <c r="C282" s="2">
        <v>37.632941666666667</v>
      </c>
      <c r="D282" s="2">
        <v>141.01336499999999</v>
      </c>
      <c r="E282" s="4">
        <v>0</v>
      </c>
      <c r="F282" s="5">
        <v>268.89999999999998</v>
      </c>
      <c r="G282">
        <v>-69</v>
      </c>
      <c r="H282" s="2">
        <v>37.632953333333333</v>
      </c>
      <c r="I282" s="2">
        <v>141.01330666666667</v>
      </c>
      <c r="J282" s="4">
        <v>0</v>
      </c>
      <c r="K282" s="5">
        <v>13.9</v>
      </c>
      <c r="L282">
        <v>-58</v>
      </c>
      <c r="M282" s="2">
        <v>37.632939999999998</v>
      </c>
      <c r="N282" s="2">
        <v>141.01338666666666</v>
      </c>
      <c r="O282" s="4">
        <v>0</v>
      </c>
      <c r="P282" s="5">
        <v>268.89999999999998</v>
      </c>
      <c r="Q282" s="2">
        <f>6378137*ACOS(SIN(RADIANS(H282))*SIN(RADIANS(M282))+COS(RADIANS(H282))*COS(RADIANS(M282))*COS(RADIANS(I282)-RADIANS(N282)))</f>
        <v>7.2068897538983716</v>
      </c>
    </row>
    <row r="283" spans="1:17" x14ac:dyDescent="0.7">
      <c r="A283">
        <v>57.5</v>
      </c>
      <c r="B283" s="3">
        <v>0.51086805555555559</v>
      </c>
      <c r="C283" s="2">
        <v>37.63294333333333</v>
      </c>
      <c r="D283" s="2">
        <v>141.01336333333333</v>
      </c>
      <c r="E283" s="4">
        <v>0.74080000000000013</v>
      </c>
      <c r="F283" s="5">
        <v>268.89999999999998</v>
      </c>
      <c r="G283">
        <v>-69</v>
      </c>
      <c r="H283" s="2">
        <v>37.632953333333333</v>
      </c>
      <c r="I283" s="2">
        <v>141.01330666666667</v>
      </c>
      <c r="J283" s="4">
        <v>0</v>
      </c>
      <c r="K283" s="5">
        <v>13.9</v>
      </c>
      <c r="L283">
        <v>-57</v>
      </c>
      <c r="M283" s="2">
        <v>37.632946666666662</v>
      </c>
      <c r="N283" s="2">
        <v>141.01338666666666</v>
      </c>
      <c r="O283" s="4">
        <v>0.74080000000000001</v>
      </c>
      <c r="P283" s="5">
        <v>268.89999999999998</v>
      </c>
      <c r="Q283" s="2">
        <f>6378137*ACOS(SIN(RADIANS(H283))*SIN(RADIANS(M283))+COS(RADIANS(H283))*COS(RADIANS(M283))*COS(RADIANS(I283)-RADIANS(N283)))</f>
        <v>7.0919157807694786</v>
      </c>
    </row>
    <row r="284" spans="1:17" x14ac:dyDescent="0.7">
      <c r="A284">
        <v>57.5</v>
      </c>
      <c r="B284" s="3">
        <v>0.51087962962962963</v>
      </c>
      <c r="C284" s="2">
        <v>37.632944999999999</v>
      </c>
      <c r="D284" s="2">
        <v>141.01336166666667</v>
      </c>
      <c r="E284" s="4">
        <v>0</v>
      </c>
      <c r="F284" s="5">
        <v>268.89999999999998</v>
      </c>
      <c r="G284">
        <v>-70</v>
      </c>
      <c r="H284" s="2">
        <v>37.632953333333333</v>
      </c>
      <c r="I284" s="2">
        <v>141.01330666666667</v>
      </c>
      <c r="J284" s="4">
        <v>0</v>
      </c>
      <c r="K284" s="5">
        <v>13.9</v>
      </c>
      <c r="L284">
        <v>-58</v>
      </c>
      <c r="M284" s="2">
        <v>37.632946666666662</v>
      </c>
      <c r="N284" s="2">
        <v>141.01336000000001</v>
      </c>
      <c r="O284" s="4">
        <v>0</v>
      </c>
      <c r="P284" s="5">
        <v>268.89999999999998</v>
      </c>
      <c r="Q284" s="2">
        <f>6378137*ACOS(SIN(RADIANS(H284))*SIN(RADIANS(M284))+COS(RADIANS(H284))*COS(RADIANS(M284))*COS(RADIANS(I284)-RADIANS(N284)))</f>
        <v>4.7596796365083796</v>
      </c>
    </row>
    <row r="285" spans="1:17" x14ac:dyDescent="0.7">
      <c r="A285">
        <v>57.5</v>
      </c>
      <c r="B285" s="3">
        <v>0.51089120370370367</v>
      </c>
      <c r="C285" s="2">
        <v>37.632946666666662</v>
      </c>
      <c r="D285" s="2">
        <v>141.01336000000001</v>
      </c>
      <c r="E285" s="4">
        <v>0</v>
      </c>
      <c r="F285" s="5">
        <v>268.89999999999998</v>
      </c>
      <c r="G285">
        <v>-70</v>
      </c>
      <c r="H285" s="2">
        <v>37.632953333333333</v>
      </c>
      <c r="I285" s="2">
        <v>141.01330666666667</v>
      </c>
      <c r="J285" s="4">
        <v>0</v>
      </c>
      <c r="K285" s="5">
        <v>13.9</v>
      </c>
      <c r="L285">
        <v>-57</v>
      </c>
      <c r="M285" s="2">
        <v>37.632946666666662</v>
      </c>
      <c r="N285" s="2">
        <v>141.01336000000001</v>
      </c>
      <c r="O285" s="4">
        <v>0</v>
      </c>
      <c r="P285" s="5">
        <v>268.89999999999998</v>
      </c>
      <c r="Q285" s="2">
        <f>6378137*ACOS(SIN(RADIANS(H285))*SIN(RADIANS(M285))+COS(RADIANS(H285))*COS(RADIANS(M285))*COS(RADIANS(I285)-RADIANS(N285)))</f>
        <v>4.7596796365083796</v>
      </c>
    </row>
    <row r="286" spans="1:17" x14ac:dyDescent="0.7">
      <c r="A286">
        <v>57.5</v>
      </c>
      <c r="B286" s="3">
        <v>0.51090277777777782</v>
      </c>
      <c r="C286" s="2">
        <v>37.632950000000001</v>
      </c>
      <c r="D286" s="2">
        <v>141.01336000000001</v>
      </c>
      <c r="E286" s="4">
        <v>0</v>
      </c>
      <c r="F286" s="5">
        <v>268.89999999999998</v>
      </c>
      <c r="G286">
        <v>-70</v>
      </c>
      <c r="H286" s="2">
        <v>37.632953333333333</v>
      </c>
      <c r="I286" s="2">
        <v>141.01330666666667</v>
      </c>
      <c r="J286" s="4">
        <v>0</v>
      </c>
      <c r="K286" s="5">
        <v>13.9</v>
      </c>
      <c r="L286">
        <v>-56</v>
      </c>
      <c r="M286" s="2">
        <v>37.632946666666662</v>
      </c>
      <c r="N286" s="2">
        <v>141.01336000000001</v>
      </c>
      <c r="O286" s="4">
        <v>0</v>
      </c>
      <c r="P286" s="5">
        <v>268.89999999999998</v>
      </c>
      <c r="Q286" s="2">
        <f>6378137*ACOS(SIN(RADIANS(H286))*SIN(RADIANS(M286))+COS(RADIANS(H286))*COS(RADIANS(M286))*COS(RADIANS(I286)-RADIANS(N286)))</f>
        <v>4.7596796365083796</v>
      </c>
    </row>
    <row r="287" spans="1:17" x14ac:dyDescent="0.7">
      <c r="A287">
        <v>57.5</v>
      </c>
      <c r="B287" s="3">
        <v>0.51091435185185186</v>
      </c>
      <c r="C287" s="2">
        <v>37.632950000000001</v>
      </c>
      <c r="D287" s="2">
        <v>141.01336000000001</v>
      </c>
      <c r="E287" s="4">
        <v>0</v>
      </c>
      <c r="F287" s="5">
        <v>268.89999999999998</v>
      </c>
      <c r="G287">
        <v>-70</v>
      </c>
      <c r="H287" s="2">
        <v>37.632953333333333</v>
      </c>
      <c r="I287" s="2">
        <v>141.01330666666667</v>
      </c>
      <c r="J287" s="4">
        <v>0</v>
      </c>
      <c r="K287" s="5">
        <v>13.9</v>
      </c>
      <c r="L287">
        <v>-58</v>
      </c>
      <c r="M287" s="2">
        <v>37.632946666666662</v>
      </c>
      <c r="N287" s="2">
        <v>141.01336000000001</v>
      </c>
      <c r="O287" s="4">
        <v>0</v>
      </c>
      <c r="P287" s="5">
        <v>268.89999999999998</v>
      </c>
      <c r="Q287" s="2">
        <f>6378137*ACOS(SIN(RADIANS(H287))*SIN(RADIANS(M287))+COS(RADIANS(H287))*COS(RADIANS(M287))*COS(RADIANS(I287)-RADIANS(N287)))</f>
        <v>4.7596796365083796</v>
      </c>
    </row>
    <row r="288" spans="1:17" x14ac:dyDescent="0.7">
      <c r="A288">
        <v>57.5</v>
      </c>
      <c r="B288" s="3">
        <v>0.51092592592592589</v>
      </c>
      <c r="C288" s="2">
        <v>37.632950000000001</v>
      </c>
      <c r="D288" s="2">
        <v>141.01335666666668</v>
      </c>
      <c r="E288" s="4">
        <v>0</v>
      </c>
      <c r="F288" s="5">
        <v>268.89999999999998</v>
      </c>
      <c r="G288">
        <v>-70</v>
      </c>
      <c r="H288" s="2">
        <v>37.632953333333333</v>
      </c>
      <c r="I288" s="2">
        <v>141.01330666666667</v>
      </c>
      <c r="J288" s="4">
        <v>0</v>
      </c>
      <c r="K288" s="5">
        <v>13.9</v>
      </c>
      <c r="L288">
        <v>-62</v>
      </c>
      <c r="M288" s="2">
        <v>37.632946666666662</v>
      </c>
      <c r="N288" s="2">
        <v>141.01336000000001</v>
      </c>
      <c r="O288" s="4">
        <v>0</v>
      </c>
      <c r="P288" s="5">
        <v>268.89999999999998</v>
      </c>
      <c r="Q288" s="2">
        <f>6378137*ACOS(SIN(RADIANS(H288))*SIN(RADIANS(M288))+COS(RADIANS(H288))*COS(RADIANS(M288))*COS(RADIANS(I288)-RADIANS(N288)))</f>
        <v>4.7596796365083796</v>
      </c>
    </row>
    <row r="289" spans="1:17" x14ac:dyDescent="0.7">
      <c r="A289">
        <v>57.5</v>
      </c>
      <c r="B289" s="3">
        <v>0.51097222222222227</v>
      </c>
      <c r="C289" s="2">
        <v>37.632941666666667</v>
      </c>
      <c r="D289" s="2">
        <v>141.01334666666668</v>
      </c>
      <c r="E289" s="4">
        <v>0</v>
      </c>
      <c r="F289" s="5">
        <v>268.89999999999998</v>
      </c>
      <c r="G289">
        <v>-73</v>
      </c>
      <c r="H289" s="2">
        <v>37.632960000000004</v>
      </c>
      <c r="I289" s="2">
        <v>141.01370666666665</v>
      </c>
      <c r="J289" s="4">
        <v>0</v>
      </c>
      <c r="K289" s="5">
        <v>0</v>
      </c>
      <c r="L289">
        <v>-72</v>
      </c>
      <c r="M289" s="2">
        <v>37.632939999999998</v>
      </c>
      <c r="N289" s="2">
        <v>141.01333333333332</v>
      </c>
      <c r="O289" s="4">
        <v>0</v>
      </c>
      <c r="P289" s="5">
        <v>268.89999999999998</v>
      </c>
      <c r="Q289" s="2">
        <f>6378137*ACOS(SIN(RADIANS(H289))*SIN(RADIANS(M289))+COS(RADIANS(H289))*COS(RADIANS(M289))*COS(RADIANS(I289)-RADIANS(N289)))</f>
        <v>32.987667534137074</v>
      </c>
    </row>
    <row r="290" spans="1:17" x14ac:dyDescent="0.7">
      <c r="A290">
        <v>57.5</v>
      </c>
      <c r="B290" s="3">
        <v>0.51098379629629631</v>
      </c>
      <c r="C290" s="2">
        <v>37.632938333333328</v>
      </c>
      <c r="D290" s="2">
        <v>141.01334833333334</v>
      </c>
      <c r="E290" s="4">
        <v>0.37040000000000006</v>
      </c>
      <c r="F290" s="5">
        <v>268.89999999999998</v>
      </c>
      <c r="G290">
        <v>-73</v>
      </c>
      <c r="H290" s="2">
        <v>37.632960000000004</v>
      </c>
      <c r="I290" s="2">
        <v>141.01370666666665</v>
      </c>
      <c r="J290" s="4">
        <v>0</v>
      </c>
      <c r="K290" s="5">
        <v>0</v>
      </c>
      <c r="L290">
        <v>-73</v>
      </c>
      <c r="M290" s="2">
        <v>37.632939999999998</v>
      </c>
      <c r="N290" s="2">
        <v>141.01336000000001</v>
      </c>
      <c r="O290" s="4">
        <v>0.37040000000000001</v>
      </c>
      <c r="P290" s="5">
        <v>268.89999999999998</v>
      </c>
      <c r="Q290" s="2">
        <f>6378137*ACOS(SIN(RADIANS(H290))*SIN(RADIANS(M290))+COS(RADIANS(H290))*COS(RADIANS(M290))*COS(RADIANS(I290)-RADIANS(N290)))</f>
        <v>30.642494307452662</v>
      </c>
    </row>
    <row r="291" spans="1:17" x14ac:dyDescent="0.7">
      <c r="A291">
        <v>57.5</v>
      </c>
      <c r="B291" s="3">
        <v>0.51099537037037035</v>
      </c>
      <c r="C291" s="2">
        <v>37.632936666666666</v>
      </c>
      <c r="D291" s="2">
        <v>141.01335</v>
      </c>
      <c r="E291" s="4">
        <v>0</v>
      </c>
      <c r="F291" s="5">
        <v>268.89999999999998</v>
      </c>
      <c r="G291">
        <v>-73</v>
      </c>
      <c r="H291" s="2">
        <v>37.632960000000004</v>
      </c>
      <c r="I291" s="2">
        <v>141.01370666666665</v>
      </c>
      <c r="J291" s="4">
        <v>0</v>
      </c>
      <c r="K291" s="5">
        <v>0</v>
      </c>
      <c r="L291">
        <v>-73</v>
      </c>
      <c r="M291" s="2">
        <v>37.632933333333334</v>
      </c>
      <c r="N291" s="2">
        <v>141.01336000000001</v>
      </c>
      <c r="O291" s="4">
        <v>0</v>
      </c>
      <c r="P291" s="5">
        <v>268.89999999999998</v>
      </c>
      <c r="Q291" s="2">
        <f>6378137*ACOS(SIN(RADIANS(H291))*SIN(RADIANS(M291))+COS(RADIANS(H291))*COS(RADIANS(M291))*COS(RADIANS(I291)-RADIANS(N291)))</f>
        <v>30.705366174990651</v>
      </c>
    </row>
    <row r="292" spans="1:17" x14ac:dyDescent="0.7">
      <c r="A292">
        <v>57.5</v>
      </c>
      <c r="B292" s="3">
        <v>0.51100694444444439</v>
      </c>
      <c r="C292" s="2">
        <v>37.632939999999998</v>
      </c>
      <c r="D292" s="2">
        <v>141.01335499999999</v>
      </c>
      <c r="E292" s="4">
        <v>0.37040000000000006</v>
      </c>
      <c r="F292" s="5">
        <v>268.89999999999998</v>
      </c>
      <c r="G292">
        <v>-70</v>
      </c>
      <c r="H292" s="2">
        <v>37.632973333333332</v>
      </c>
      <c r="I292" s="2">
        <v>141.01285333333331</v>
      </c>
      <c r="J292" s="4">
        <v>0</v>
      </c>
      <c r="K292" s="5">
        <v>0</v>
      </c>
      <c r="L292">
        <v>-62</v>
      </c>
      <c r="M292" s="2">
        <v>37.632939999999998</v>
      </c>
      <c r="N292" s="2">
        <v>141.01336000000001</v>
      </c>
      <c r="O292" s="4">
        <v>0.37040000000000001</v>
      </c>
      <c r="P292" s="5">
        <v>268.89999999999998</v>
      </c>
      <c r="Q292" s="2">
        <f>6378137*ACOS(SIN(RADIANS(H292))*SIN(RADIANS(M292))+COS(RADIANS(H292))*COS(RADIANS(M292))*COS(RADIANS(I292)-RADIANS(N292)))</f>
        <v>44.820778428785495</v>
      </c>
    </row>
    <row r="293" spans="1:17" x14ac:dyDescent="0.7">
      <c r="A293">
        <v>57.5</v>
      </c>
      <c r="B293" s="3">
        <v>0.51101851851851854</v>
      </c>
      <c r="C293" s="2">
        <v>37.632941666666667</v>
      </c>
      <c r="D293" s="2">
        <v>141.01335499999999</v>
      </c>
      <c r="E293" s="4">
        <v>0.37040000000000006</v>
      </c>
      <c r="F293" s="5">
        <v>268.89999999999998</v>
      </c>
      <c r="G293">
        <v>-70</v>
      </c>
      <c r="H293" s="2">
        <v>37.632973333333332</v>
      </c>
      <c r="I293" s="2">
        <v>141.01285333333331</v>
      </c>
      <c r="J293" s="4">
        <v>0</v>
      </c>
      <c r="K293" s="5">
        <v>0</v>
      </c>
      <c r="L293">
        <v>-62</v>
      </c>
      <c r="M293" s="2">
        <v>37.632939999999998</v>
      </c>
      <c r="N293" s="2">
        <v>141.01336000000001</v>
      </c>
      <c r="O293" s="4">
        <v>0.37040000000000001</v>
      </c>
      <c r="P293" s="5">
        <v>268.89999999999998</v>
      </c>
      <c r="Q293" s="2">
        <f>6378137*ACOS(SIN(RADIANS(H293))*SIN(RADIANS(M293))+COS(RADIANS(H293))*COS(RADIANS(M293))*COS(RADIANS(I293)-RADIANS(N293)))</f>
        <v>44.820778428785495</v>
      </c>
    </row>
    <row r="294" spans="1:17" x14ac:dyDescent="0.7">
      <c r="A294">
        <v>57.5</v>
      </c>
      <c r="B294" s="3">
        <v>0.51103009259259258</v>
      </c>
      <c r="C294" s="2">
        <v>37.632938333333328</v>
      </c>
      <c r="D294" s="2">
        <v>141.01335333333333</v>
      </c>
      <c r="E294" s="4">
        <v>0.55559999999999998</v>
      </c>
      <c r="F294" s="5">
        <v>268.89999999999998</v>
      </c>
      <c r="G294">
        <v>-74</v>
      </c>
      <c r="H294" s="2">
        <v>37.632953333333333</v>
      </c>
      <c r="I294" s="2">
        <v>141.01370666666665</v>
      </c>
      <c r="J294" s="4">
        <v>0</v>
      </c>
      <c r="K294" s="5">
        <v>0</v>
      </c>
      <c r="L294">
        <v>-73</v>
      </c>
      <c r="M294" s="2">
        <v>37.632939999999998</v>
      </c>
      <c r="N294" s="2">
        <v>141.01336000000001</v>
      </c>
      <c r="O294" s="4">
        <v>0.55559999999999998</v>
      </c>
      <c r="P294" s="5">
        <v>268.89999999999998</v>
      </c>
      <c r="Q294" s="2">
        <f>6378137*ACOS(SIN(RADIANS(H294))*SIN(RADIANS(M294))+COS(RADIANS(H294))*COS(RADIANS(M294))*COS(RADIANS(I294)-RADIANS(N294)))</f>
        <v>30.597359126060606</v>
      </c>
    </row>
    <row r="295" spans="1:17" x14ac:dyDescent="0.7">
      <c r="A295">
        <v>57.5</v>
      </c>
      <c r="B295" s="3">
        <v>0.51104166666666673</v>
      </c>
      <c r="C295" s="2">
        <v>37.632936666666666</v>
      </c>
      <c r="D295" s="2">
        <v>141.01335</v>
      </c>
      <c r="E295" s="4">
        <v>0.55559999999999998</v>
      </c>
      <c r="F295" s="5">
        <v>268.89999999999998</v>
      </c>
      <c r="G295">
        <v>-70</v>
      </c>
      <c r="H295" s="2">
        <v>37.632973333333332</v>
      </c>
      <c r="I295" s="2">
        <v>141.01288000000002</v>
      </c>
      <c r="J295" s="4">
        <v>0</v>
      </c>
      <c r="K295" s="5">
        <v>0</v>
      </c>
      <c r="L295">
        <v>-62</v>
      </c>
      <c r="M295" s="2">
        <v>37.632933333333334</v>
      </c>
      <c r="N295" s="2">
        <v>141.01336000000001</v>
      </c>
      <c r="O295" s="4">
        <v>0.55559999999999998</v>
      </c>
      <c r="P295" s="5">
        <v>268.89999999999998</v>
      </c>
      <c r="Q295" s="2">
        <f>6378137*ACOS(SIN(RADIANS(H295))*SIN(RADIANS(M295))+COS(RADIANS(H295))*COS(RADIANS(M295))*COS(RADIANS(I295)-RADIANS(N295)))</f>
        <v>42.549584102728758</v>
      </c>
    </row>
    <row r="296" spans="1:17" x14ac:dyDescent="0.7">
      <c r="A296">
        <v>57.5</v>
      </c>
      <c r="B296" s="3">
        <v>0.51107638888888884</v>
      </c>
      <c r="C296" s="2">
        <v>37.632931666666664</v>
      </c>
      <c r="D296" s="2">
        <v>141.01335166666667</v>
      </c>
      <c r="E296" s="4">
        <v>0.55559999999999998</v>
      </c>
      <c r="F296" s="5">
        <v>268.89999999999998</v>
      </c>
      <c r="G296">
        <v>-70</v>
      </c>
      <c r="H296" s="2">
        <v>37.632973333333332</v>
      </c>
      <c r="I296" s="2">
        <v>141.01288000000002</v>
      </c>
      <c r="J296" s="4">
        <v>0</v>
      </c>
      <c r="K296" s="5">
        <v>0</v>
      </c>
      <c r="L296">
        <v>-62</v>
      </c>
      <c r="M296" s="2">
        <v>37.632933333333334</v>
      </c>
      <c r="N296" s="2">
        <v>141.01336000000001</v>
      </c>
      <c r="O296" s="4">
        <v>0.55559999999999998</v>
      </c>
      <c r="P296" s="5">
        <v>268.89999999999998</v>
      </c>
      <c r="Q296" s="2">
        <f>6378137*ACOS(SIN(RADIANS(H296))*SIN(RADIANS(M296))+COS(RADIANS(H296))*COS(RADIANS(M296))*COS(RADIANS(I296)-RADIANS(N296)))</f>
        <v>42.549584102728758</v>
      </c>
    </row>
    <row r="297" spans="1:17" x14ac:dyDescent="0.7">
      <c r="A297">
        <v>57.5</v>
      </c>
      <c r="B297" s="3">
        <v>0.51109953703703703</v>
      </c>
      <c r="C297" s="2">
        <v>37.632931666666664</v>
      </c>
      <c r="D297" s="2">
        <v>141.01335166666667</v>
      </c>
      <c r="E297" s="4">
        <v>0</v>
      </c>
      <c r="F297" s="5">
        <v>268.89999999999998</v>
      </c>
      <c r="G297">
        <v>-72</v>
      </c>
      <c r="H297" s="2">
        <v>37.632953333333333</v>
      </c>
      <c r="I297" s="2">
        <v>141.01370666666665</v>
      </c>
      <c r="J297" s="4">
        <v>0</v>
      </c>
      <c r="K297" s="5">
        <v>0</v>
      </c>
      <c r="L297">
        <v>-72</v>
      </c>
      <c r="M297" s="2">
        <v>37.632933333333334</v>
      </c>
      <c r="N297" s="2">
        <v>141.01336000000001</v>
      </c>
      <c r="O297" s="4">
        <v>0</v>
      </c>
      <c r="P297" s="5">
        <v>268.89999999999998</v>
      </c>
      <c r="Q297" s="2">
        <f>6378137*ACOS(SIN(RADIANS(H297))*SIN(RADIANS(M297))+COS(RADIANS(H297))*COS(RADIANS(M297))*COS(RADIANS(I297)-RADIANS(N297)))</f>
        <v>30.642346914636899</v>
      </c>
    </row>
    <row r="298" spans="1:17" x14ac:dyDescent="0.7">
      <c r="A298">
        <v>57.5</v>
      </c>
      <c r="B298" s="3">
        <v>0.51113425925925926</v>
      </c>
      <c r="C298" s="2">
        <v>37.632934999999996</v>
      </c>
      <c r="D298" s="2">
        <v>141.01335166666667</v>
      </c>
      <c r="E298" s="4">
        <v>0</v>
      </c>
      <c r="F298" s="5">
        <v>268.89999999999998</v>
      </c>
      <c r="G298">
        <v>-70</v>
      </c>
      <c r="H298" s="2">
        <v>37.632946666666662</v>
      </c>
      <c r="I298" s="2">
        <v>141.01330666666667</v>
      </c>
      <c r="J298" s="4">
        <v>0</v>
      </c>
      <c r="K298" s="5">
        <v>13.9</v>
      </c>
      <c r="L298">
        <v>-59</v>
      </c>
      <c r="M298" s="2">
        <v>37.632933333333334</v>
      </c>
      <c r="N298" s="2">
        <v>141.01336000000001</v>
      </c>
      <c r="O298" s="4">
        <v>0</v>
      </c>
      <c r="P298" s="5">
        <v>268.89999999999998</v>
      </c>
      <c r="Q298" s="2">
        <f>6378137*ACOS(SIN(RADIANS(H298))*SIN(RADIANS(M298))+COS(RADIANS(H298))*COS(RADIANS(M298))*COS(RADIANS(I298)-RADIANS(N298)))</f>
        <v>4.9311871343198854</v>
      </c>
    </row>
    <row r="299" spans="1:17" x14ac:dyDescent="0.7">
      <c r="A299">
        <v>57.5</v>
      </c>
      <c r="B299" s="3">
        <v>0.5111458333333333</v>
      </c>
      <c r="C299" s="2">
        <v>37.632934999999996</v>
      </c>
      <c r="D299" s="2">
        <v>141.01335</v>
      </c>
      <c r="E299" s="4">
        <v>0</v>
      </c>
      <c r="F299" s="5">
        <v>268.89999999999998</v>
      </c>
      <c r="G299">
        <v>-70</v>
      </c>
      <c r="H299" s="2">
        <v>37.632946666666662</v>
      </c>
      <c r="I299" s="2">
        <v>141.01330666666667</v>
      </c>
      <c r="J299" s="4">
        <v>0</v>
      </c>
      <c r="K299" s="5">
        <v>13.9</v>
      </c>
      <c r="L299">
        <v>-59</v>
      </c>
      <c r="M299" s="2">
        <v>37.632933333333334</v>
      </c>
      <c r="N299" s="2">
        <v>141.01336000000001</v>
      </c>
      <c r="O299" s="4">
        <v>0</v>
      </c>
      <c r="P299" s="5">
        <v>268.89999999999998</v>
      </c>
      <c r="Q299" s="2">
        <f>6378137*ACOS(SIN(RADIANS(H299))*SIN(RADIANS(M299))+COS(RADIANS(H299))*COS(RADIANS(M299))*COS(RADIANS(I299)-RADIANS(N299)))</f>
        <v>4.9311871343198854</v>
      </c>
    </row>
    <row r="300" spans="1:17" x14ac:dyDescent="0.7">
      <c r="A300">
        <v>57.5</v>
      </c>
      <c r="B300" s="3">
        <v>0.51115740740740734</v>
      </c>
      <c r="C300" s="2">
        <v>37.632936666666666</v>
      </c>
      <c r="D300" s="2">
        <v>141.01334666666668</v>
      </c>
      <c r="E300" s="4">
        <v>0.55559999999999998</v>
      </c>
      <c r="F300" s="5">
        <v>268.89999999999998</v>
      </c>
      <c r="G300">
        <v>-70</v>
      </c>
      <c r="H300" s="2">
        <v>37.632946666666662</v>
      </c>
      <c r="I300" s="2">
        <v>141.01330666666667</v>
      </c>
      <c r="J300" s="4">
        <v>0</v>
      </c>
      <c r="K300" s="5">
        <v>13.9</v>
      </c>
      <c r="L300">
        <v>-58</v>
      </c>
      <c r="M300" s="2">
        <v>37.632933333333334</v>
      </c>
      <c r="N300" s="2">
        <v>141.01333333333332</v>
      </c>
      <c r="O300" s="4">
        <v>0.55559999999999998</v>
      </c>
      <c r="P300" s="5">
        <v>268.89999999999998</v>
      </c>
      <c r="Q300" s="2">
        <f>6378137*ACOS(SIN(RADIANS(H300))*SIN(RADIANS(M300))+COS(RADIANS(H300))*COS(RADIANS(M300))*COS(RADIANS(I300)-RADIANS(N300)))</f>
        <v>2.7823026351592648</v>
      </c>
    </row>
    <row r="301" spans="1:17" x14ac:dyDescent="0.7">
      <c r="A301">
        <v>57.5</v>
      </c>
      <c r="B301" s="3">
        <v>0.51116898148148149</v>
      </c>
      <c r="C301" s="2">
        <v>37.632934999999996</v>
      </c>
      <c r="D301" s="2">
        <v>141.01334666666668</v>
      </c>
      <c r="E301" s="4">
        <v>0</v>
      </c>
      <c r="F301" s="5">
        <v>268.89999999999998</v>
      </c>
      <c r="G301">
        <v>-69</v>
      </c>
      <c r="H301" s="2">
        <v>37.632946666666662</v>
      </c>
      <c r="I301" s="2">
        <v>141.01330666666667</v>
      </c>
      <c r="J301" s="4">
        <v>0</v>
      </c>
      <c r="K301" s="5">
        <v>13.9</v>
      </c>
      <c r="L301">
        <v>-60</v>
      </c>
      <c r="M301" s="2">
        <v>37.632933333333334</v>
      </c>
      <c r="N301" s="2">
        <v>141.01333333333332</v>
      </c>
      <c r="O301" s="4">
        <v>0</v>
      </c>
      <c r="P301" s="5">
        <v>268.89999999999998</v>
      </c>
      <c r="Q301" s="2">
        <f>6378137*ACOS(SIN(RADIANS(H301))*SIN(RADIANS(M301))+COS(RADIANS(H301))*COS(RADIANS(M301))*COS(RADIANS(I301)-RADIANS(N301)))</f>
        <v>2.7823026351592648</v>
      </c>
    </row>
    <row r="302" spans="1:17" x14ac:dyDescent="0.7">
      <c r="A302">
        <v>57.5</v>
      </c>
      <c r="B302" s="3">
        <v>0.51118055555555553</v>
      </c>
      <c r="C302" s="2">
        <v>37.632931666666664</v>
      </c>
      <c r="D302" s="2">
        <v>141.01334833333334</v>
      </c>
      <c r="E302" s="4">
        <v>0.55559999999999998</v>
      </c>
      <c r="F302" s="5">
        <v>268.89999999999998</v>
      </c>
      <c r="G302">
        <v>-70</v>
      </c>
      <c r="H302" s="2">
        <v>37.632946666666662</v>
      </c>
      <c r="I302" s="2">
        <v>141.01330666666667</v>
      </c>
      <c r="J302" s="4">
        <v>0</v>
      </c>
      <c r="K302" s="5">
        <v>13.9</v>
      </c>
      <c r="L302">
        <v>-71</v>
      </c>
      <c r="M302" s="2">
        <v>37.632933333333334</v>
      </c>
      <c r="N302" s="2">
        <v>141.01336000000001</v>
      </c>
      <c r="O302" s="4">
        <v>0.55559999999999998</v>
      </c>
      <c r="P302" s="5">
        <v>268.89999999999998</v>
      </c>
      <c r="Q302" s="2">
        <f>6378137*ACOS(SIN(RADIANS(H302))*SIN(RADIANS(M302))+COS(RADIANS(H302))*COS(RADIANS(M302))*COS(RADIANS(I302)-RADIANS(N302)))</f>
        <v>4.9311871343198854</v>
      </c>
    </row>
    <row r="303" spans="1:17" x14ac:dyDescent="0.7">
      <c r="A303">
        <v>57.5</v>
      </c>
      <c r="B303" s="3">
        <v>0.51119212962962968</v>
      </c>
      <c r="C303" s="2">
        <v>37.632928333333332</v>
      </c>
      <c r="D303" s="2">
        <v>141.01334333333335</v>
      </c>
      <c r="E303" s="4">
        <v>0.74080000000000013</v>
      </c>
      <c r="F303" s="5">
        <v>267</v>
      </c>
      <c r="G303">
        <v>-70</v>
      </c>
      <c r="H303" s="2">
        <v>37.632946666666662</v>
      </c>
      <c r="I303" s="2">
        <v>141.01330666666667</v>
      </c>
      <c r="J303" s="4">
        <v>0</v>
      </c>
      <c r="K303" s="5">
        <v>13.9</v>
      </c>
      <c r="L303">
        <v>-62</v>
      </c>
      <c r="M303" s="2">
        <v>37.632933333333334</v>
      </c>
      <c r="N303" s="2">
        <v>141.01333333333332</v>
      </c>
      <c r="O303" s="4">
        <v>0.74080000000000001</v>
      </c>
      <c r="P303" s="5">
        <v>267</v>
      </c>
      <c r="Q303" s="2">
        <f>6378137*ACOS(SIN(RADIANS(H303))*SIN(RADIANS(M303))+COS(RADIANS(H303))*COS(RADIANS(M303))*COS(RADIANS(I303)-RADIANS(N303)))</f>
        <v>2.7823026351592648</v>
      </c>
    </row>
    <row r="304" spans="1:17" x14ac:dyDescent="0.7">
      <c r="A304">
        <v>57.5</v>
      </c>
      <c r="B304" s="3">
        <v>0.51120370370370372</v>
      </c>
      <c r="C304" s="2">
        <v>37.632930000000002</v>
      </c>
      <c r="D304" s="2">
        <v>141.01333000000002</v>
      </c>
      <c r="E304" s="4">
        <v>2.4076000000000004</v>
      </c>
      <c r="F304" s="5">
        <v>267.7</v>
      </c>
      <c r="G304">
        <v>-70</v>
      </c>
      <c r="H304" s="2">
        <v>37.632946666666662</v>
      </c>
      <c r="I304" s="2">
        <v>141.01330666666667</v>
      </c>
      <c r="J304" s="4">
        <v>0</v>
      </c>
      <c r="K304" s="5">
        <v>13.9</v>
      </c>
      <c r="L304">
        <v>-51</v>
      </c>
      <c r="M304" s="2">
        <v>37.632933333333334</v>
      </c>
      <c r="N304" s="2">
        <v>141.01333333333332</v>
      </c>
      <c r="O304" s="4">
        <v>2.4076</v>
      </c>
      <c r="P304" s="5">
        <v>267.7</v>
      </c>
      <c r="Q304" s="2">
        <f>6378137*ACOS(SIN(RADIANS(H304))*SIN(RADIANS(M304))+COS(RADIANS(H304))*COS(RADIANS(M304))*COS(RADIANS(I304)-RADIANS(N304)))</f>
        <v>2.7823026351592648</v>
      </c>
    </row>
    <row r="305" spans="1:17" x14ac:dyDescent="0.7">
      <c r="A305">
        <v>2.5</v>
      </c>
      <c r="B305" s="3">
        <v>0.5135763888888889</v>
      </c>
      <c r="C305" s="2">
        <v>37.63294333333333</v>
      </c>
      <c r="D305" s="2">
        <v>141.01270666666667</v>
      </c>
      <c r="E305" s="4">
        <v>10.3712</v>
      </c>
      <c r="F305" s="5">
        <v>93.2</v>
      </c>
      <c r="G305">
        <v>-77</v>
      </c>
      <c r="H305" s="2">
        <v>37.633006666666667</v>
      </c>
      <c r="I305" s="2">
        <v>141.01290666666668</v>
      </c>
      <c r="J305" s="4">
        <v>0</v>
      </c>
      <c r="K305" s="5">
        <v>0</v>
      </c>
      <c r="L305">
        <v>-51</v>
      </c>
      <c r="M305" s="2">
        <v>37.632946666666662</v>
      </c>
      <c r="N305" s="2">
        <v>141.01269333333332</v>
      </c>
      <c r="O305" s="4">
        <v>10.3712</v>
      </c>
      <c r="P305" s="5">
        <v>93.2</v>
      </c>
      <c r="Q305" s="2">
        <f>6378137*ACOS(SIN(RADIANS(H305))*SIN(RADIANS(M305))+COS(RADIANS(H305))*COS(RADIANS(M305))*COS(RADIANS(I305)-RADIANS(N305)))</f>
        <v>19.957840806485581</v>
      </c>
    </row>
    <row r="306" spans="1:17" x14ac:dyDescent="0.7">
      <c r="A306">
        <v>2.5</v>
      </c>
      <c r="B306" s="3">
        <v>0.51358796296296294</v>
      </c>
      <c r="C306" s="2">
        <v>37.63294333333333</v>
      </c>
      <c r="D306" s="2">
        <v>141.01274666666669</v>
      </c>
      <c r="E306" s="4">
        <v>11.852800000000002</v>
      </c>
      <c r="F306" s="5">
        <v>90.9</v>
      </c>
      <c r="G306">
        <v>-77</v>
      </c>
      <c r="H306" s="2">
        <v>37.633006666666667</v>
      </c>
      <c r="I306" s="2">
        <v>141.01290666666668</v>
      </c>
      <c r="J306" s="4">
        <v>0</v>
      </c>
      <c r="K306" s="5">
        <v>0</v>
      </c>
      <c r="L306">
        <v>-41</v>
      </c>
      <c r="M306" s="2">
        <v>37.632946666666662</v>
      </c>
      <c r="N306" s="2">
        <v>141.01274666666669</v>
      </c>
      <c r="O306" s="4">
        <v>11.8528</v>
      </c>
      <c r="P306" s="5">
        <v>90.9</v>
      </c>
      <c r="Q306" s="2">
        <f>6378137*ACOS(SIN(RADIANS(H306))*SIN(RADIANS(M306))+COS(RADIANS(H306))*COS(RADIANS(M306))*COS(RADIANS(I306)-RADIANS(N306)))</f>
        <v>15.606521515828856</v>
      </c>
    </row>
    <row r="307" spans="1:17" x14ac:dyDescent="0.7">
      <c r="A307">
        <v>27.5</v>
      </c>
      <c r="B307" s="3">
        <v>0.51364583333333336</v>
      </c>
      <c r="C307" s="2">
        <v>37.632939999999998</v>
      </c>
      <c r="D307" s="2">
        <v>141.01296666666667</v>
      </c>
      <c r="E307" s="4">
        <v>12.5936</v>
      </c>
      <c r="F307" s="5">
        <v>92.2</v>
      </c>
      <c r="G307">
        <v>-78</v>
      </c>
      <c r="H307" s="2">
        <v>37.633006666666667</v>
      </c>
      <c r="I307" s="2">
        <v>141.01290666666668</v>
      </c>
      <c r="J307" s="4">
        <v>0</v>
      </c>
      <c r="K307" s="5">
        <v>0</v>
      </c>
      <c r="L307">
        <v>-66</v>
      </c>
      <c r="M307" s="2">
        <v>37.632939999999998</v>
      </c>
      <c r="N307" s="2">
        <v>141.01295999999999</v>
      </c>
      <c r="O307" s="4">
        <v>12.5936</v>
      </c>
      <c r="P307" s="5">
        <v>92.2</v>
      </c>
      <c r="Q307" s="2">
        <f>6378137*ACOS(SIN(RADIANS(H307))*SIN(RADIANS(M307))+COS(RADIANS(H307))*COS(RADIANS(M307))*COS(RADIANS(I307)-RADIANS(N307)))</f>
        <v>8.7845427242776104</v>
      </c>
    </row>
    <row r="308" spans="1:17" x14ac:dyDescent="0.7">
      <c r="A308">
        <v>27.5</v>
      </c>
      <c r="B308" s="3">
        <v>0.5136574074074074</v>
      </c>
      <c r="C308" s="2">
        <v>37.632939999999998</v>
      </c>
      <c r="D308" s="2">
        <v>141.01300833333335</v>
      </c>
      <c r="E308" s="4">
        <v>12.964</v>
      </c>
      <c r="F308" s="5">
        <v>92</v>
      </c>
      <c r="G308">
        <v>-76</v>
      </c>
      <c r="H308" s="2">
        <v>37.633006666666667</v>
      </c>
      <c r="I308" s="2">
        <v>141.01290666666668</v>
      </c>
      <c r="J308" s="4">
        <v>0</v>
      </c>
      <c r="K308" s="5">
        <v>0</v>
      </c>
      <c r="L308">
        <v>-78</v>
      </c>
      <c r="M308" s="2">
        <v>37.632939999999998</v>
      </c>
      <c r="N308" s="2">
        <v>141.01301333333333</v>
      </c>
      <c r="O308" s="4">
        <v>12.964</v>
      </c>
      <c r="P308" s="5">
        <v>92</v>
      </c>
      <c r="Q308" s="2">
        <f>6378137*ACOS(SIN(RADIANS(H308))*SIN(RADIANS(M308))+COS(RADIANS(H308))*COS(RADIANS(M308))*COS(RADIANS(I308)-RADIANS(N308)))</f>
        <v>11.978641454568585</v>
      </c>
    </row>
    <row r="309" spans="1:17" x14ac:dyDescent="0.7">
      <c r="A309">
        <v>27.5</v>
      </c>
      <c r="B309" s="3">
        <v>0.51366898148148155</v>
      </c>
      <c r="C309" s="2">
        <v>37.632939999999998</v>
      </c>
      <c r="D309" s="2">
        <v>141.01304666666667</v>
      </c>
      <c r="E309" s="4">
        <v>12.964</v>
      </c>
      <c r="F309" s="5">
        <v>92.1</v>
      </c>
      <c r="G309">
        <v>-75</v>
      </c>
      <c r="H309" s="2">
        <v>37.633006666666667</v>
      </c>
      <c r="I309" s="2">
        <v>141.01290666666668</v>
      </c>
      <c r="J309" s="4">
        <v>0</v>
      </c>
      <c r="K309" s="5">
        <v>0</v>
      </c>
      <c r="L309">
        <v>-79</v>
      </c>
      <c r="M309" s="2">
        <v>37.632939999999998</v>
      </c>
      <c r="N309" s="2">
        <v>141.01306666666667</v>
      </c>
      <c r="O309" s="4">
        <v>12.964</v>
      </c>
      <c r="P309" s="5">
        <v>92.1</v>
      </c>
      <c r="Q309" s="2">
        <f>6378137*ACOS(SIN(RADIANS(H309))*SIN(RADIANS(M309))+COS(RADIANS(H309))*COS(RADIANS(M309))*COS(RADIANS(I309)-RADIANS(N309)))</f>
        <v>15.938118745970602</v>
      </c>
    </row>
    <row r="310" spans="1:17" x14ac:dyDescent="0.7">
      <c r="A310">
        <v>32.5</v>
      </c>
      <c r="B310" s="3">
        <v>0.51366898148148155</v>
      </c>
      <c r="C310" s="2">
        <v>37.632939999999998</v>
      </c>
      <c r="D310" s="2">
        <v>141.01304666666667</v>
      </c>
      <c r="E310" s="4">
        <v>12.964</v>
      </c>
      <c r="F310" s="5">
        <v>92.1</v>
      </c>
      <c r="G310">
        <v>-75</v>
      </c>
      <c r="H310" s="2">
        <v>37.633006666666667</v>
      </c>
      <c r="I310" s="2">
        <v>141.01290666666668</v>
      </c>
      <c r="J310" s="4">
        <v>0</v>
      </c>
      <c r="K310" s="5">
        <v>0</v>
      </c>
      <c r="L310">
        <v>-79</v>
      </c>
      <c r="M310" s="2">
        <v>37.632939999999998</v>
      </c>
      <c r="N310" s="2">
        <v>141.01306666666667</v>
      </c>
      <c r="O310" s="4">
        <v>12.964</v>
      </c>
      <c r="P310" s="5">
        <v>92.1</v>
      </c>
      <c r="Q310" s="2">
        <f>6378137*ACOS(SIN(RADIANS(H310))*SIN(RADIANS(M310))+COS(RADIANS(H310))*COS(RADIANS(M310))*COS(RADIANS(I310)-RADIANS(N310)))</f>
        <v>15.938118745970602</v>
      </c>
    </row>
    <row r="311" spans="1:17" x14ac:dyDescent="0.7">
      <c r="A311">
        <v>32.5</v>
      </c>
      <c r="B311" s="3">
        <v>0.51368055555555558</v>
      </c>
      <c r="C311" s="2">
        <v>37.632939999999998</v>
      </c>
      <c r="D311" s="2">
        <v>141.01308499999999</v>
      </c>
      <c r="E311" s="4">
        <v>12.964</v>
      </c>
      <c r="F311" s="5">
        <v>92.5</v>
      </c>
      <c r="G311">
        <v>-76</v>
      </c>
      <c r="H311" s="2">
        <v>37.633000000000003</v>
      </c>
      <c r="I311" s="2">
        <v>141.01290666666668</v>
      </c>
      <c r="J311" s="4">
        <v>0</v>
      </c>
      <c r="K311" s="5">
        <v>0</v>
      </c>
      <c r="L311">
        <v>-71</v>
      </c>
      <c r="M311" s="2">
        <v>37.632939999999998</v>
      </c>
      <c r="N311" s="2">
        <v>141.01309333333333</v>
      </c>
      <c r="O311" s="4">
        <v>12.964</v>
      </c>
      <c r="P311" s="5">
        <v>92.5</v>
      </c>
      <c r="Q311" s="2">
        <f>6378137*ACOS(SIN(RADIANS(H311))*SIN(RADIANS(M311))+COS(RADIANS(H311))*COS(RADIANS(M311))*COS(RADIANS(I311)-RADIANS(N311)))</f>
        <v>17.76007744414979</v>
      </c>
    </row>
    <row r="312" spans="1:17" x14ac:dyDescent="0.7">
      <c r="A312">
        <v>47.5</v>
      </c>
      <c r="B312" s="3">
        <v>0.51372685185185185</v>
      </c>
      <c r="C312" s="2">
        <v>37.632936666666666</v>
      </c>
      <c r="D312" s="2">
        <v>141.01322500000001</v>
      </c>
      <c r="E312" s="4">
        <v>11.6676</v>
      </c>
      <c r="F312" s="5">
        <v>92</v>
      </c>
      <c r="G312">
        <v>-77</v>
      </c>
      <c r="H312" s="2">
        <v>37.633013333333331</v>
      </c>
      <c r="I312" s="2">
        <v>141.01290666666668</v>
      </c>
      <c r="J312" s="4">
        <v>0</v>
      </c>
      <c r="K312" s="5">
        <v>0</v>
      </c>
      <c r="L312">
        <v>-79</v>
      </c>
      <c r="M312" s="2">
        <v>37.632933333333334</v>
      </c>
      <c r="N312" s="2">
        <v>141.01322666666667</v>
      </c>
      <c r="O312" s="4">
        <v>11.6676</v>
      </c>
      <c r="P312" s="5">
        <v>92</v>
      </c>
      <c r="Q312" s="2">
        <f>6378137*ACOS(SIN(RADIANS(H312))*SIN(RADIANS(M312))+COS(RADIANS(H312))*COS(RADIANS(M312))*COS(RADIANS(I312)-RADIANS(N312)))</f>
        <v>29.582848316542311</v>
      </c>
    </row>
    <row r="313" spans="1:17" x14ac:dyDescent="0.7">
      <c r="A313">
        <v>57.5</v>
      </c>
      <c r="B313" s="3">
        <v>0.51376157407407408</v>
      </c>
      <c r="C313" s="2">
        <v>37.63292666666667</v>
      </c>
      <c r="D313" s="2">
        <v>141.01331999999999</v>
      </c>
      <c r="E313" s="4">
        <v>11.2972</v>
      </c>
      <c r="F313" s="5">
        <v>92.2</v>
      </c>
      <c r="G313">
        <v>-77</v>
      </c>
      <c r="H313" s="2">
        <v>37.633006666666667</v>
      </c>
      <c r="I313" s="2">
        <v>141.01290666666668</v>
      </c>
      <c r="J313" s="4">
        <v>0</v>
      </c>
      <c r="K313" s="5">
        <v>0</v>
      </c>
      <c r="L313">
        <v>-83</v>
      </c>
      <c r="M313" s="2">
        <v>37.632933333333334</v>
      </c>
      <c r="N313" s="2">
        <v>141.01330666666667</v>
      </c>
      <c r="O313" s="4">
        <v>11.2972</v>
      </c>
      <c r="P313" s="5">
        <v>92.2</v>
      </c>
      <c r="Q313" s="2">
        <f>6378137*ACOS(SIN(RADIANS(H313))*SIN(RADIANS(M313))+COS(RADIANS(H313))*COS(RADIANS(M313))*COS(RADIANS(I313)-RADIANS(N313)))</f>
        <v>36.195772656421667</v>
      </c>
    </row>
    <row r="314" spans="1:17" x14ac:dyDescent="0.7">
      <c r="A314">
        <v>57.5</v>
      </c>
      <c r="B314" s="3">
        <v>0.51377314814814812</v>
      </c>
      <c r="C314" s="2">
        <v>37.632928333333332</v>
      </c>
      <c r="D314" s="2">
        <v>141.01335</v>
      </c>
      <c r="E314" s="4">
        <v>10.5564</v>
      </c>
      <c r="F314" s="5">
        <v>91</v>
      </c>
      <c r="G314">
        <v>-77</v>
      </c>
      <c r="H314" s="2">
        <v>37.633006666666667</v>
      </c>
      <c r="I314" s="2">
        <v>141.01290666666668</v>
      </c>
      <c r="J314" s="4">
        <v>0</v>
      </c>
      <c r="K314" s="5">
        <v>0</v>
      </c>
      <c r="L314">
        <v>-82</v>
      </c>
      <c r="M314" s="2">
        <v>37.632933333333334</v>
      </c>
      <c r="N314" s="2">
        <v>141.01336000000001</v>
      </c>
      <c r="O314" s="4">
        <v>10.5564</v>
      </c>
      <c r="P314" s="5">
        <v>91</v>
      </c>
      <c r="Q314" s="2">
        <f>6378137*ACOS(SIN(RADIANS(H314))*SIN(RADIANS(M314))+COS(RADIANS(H314))*COS(RADIANS(M314))*COS(RADIANS(I314)-RADIANS(N314)))</f>
        <v>40.790254163305733</v>
      </c>
    </row>
    <row r="315" spans="1:17" x14ac:dyDescent="0.7">
      <c r="A315">
        <v>57.5</v>
      </c>
      <c r="B315" s="3">
        <v>0.51378472222222216</v>
      </c>
      <c r="C315" s="2">
        <v>37.63292666666667</v>
      </c>
      <c r="D315" s="2">
        <v>141.01338333333334</v>
      </c>
      <c r="E315" s="4">
        <v>10.5564</v>
      </c>
      <c r="F315" s="5">
        <v>90.7</v>
      </c>
      <c r="G315">
        <v>-76</v>
      </c>
      <c r="H315" s="2">
        <v>37.633013333333331</v>
      </c>
      <c r="I315" s="2">
        <v>141.01290666666668</v>
      </c>
      <c r="J315" s="4">
        <v>0</v>
      </c>
      <c r="K315" s="5">
        <v>0</v>
      </c>
      <c r="L315">
        <v>-90</v>
      </c>
      <c r="M315" s="2">
        <v>37.632933333333334</v>
      </c>
      <c r="N315" s="2">
        <v>141.01338666666666</v>
      </c>
      <c r="O315" s="4">
        <v>10.5564</v>
      </c>
      <c r="P315" s="5">
        <v>90.7</v>
      </c>
      <c r="Q315" s="2">
        <f>6378137*ACOS(SIN(RADIANS(H315))*SIN(RADIANS(M315))+COS(RADIANS(H315))*COS(RADIANS(M315))*COS(RADIANS(I315)-RADIANS(N315)))</f>
        <v>43.242800766226601</v>
      </c>
    </row>
    <row r="316" spans="1:17" x14ac:dyDescent="0.7">
      <c r="A316">
        <v>62.5</v>
      </c>
      <c r="B316" s="3">
        <v>0.51378472222222216</v>
      </c>
      <c r="C316" s="2">
        <v>37.63292666666667</v>
      </c>
      <c r="D316" s="2">
        <v>141.01338333333334</v>
      </c>
      <c r="E316" s="4">
        <v>10.5564</v>
      </c>
      <c r="F316" s="5">
        <v>90.7</v>
      </c>
      <c r="G316">
        <v>-76</v>
      </c>
      <c r="H316" s="2">
        <v>37.633013333333331</v>
      </c>
      <c r="I316" s="2">
        <v>141.01290666666668</v>
      </c>
      <c r="J316" s="4">
        <v>0</v>
      </c>
      <c r="K316" s="5">
        <v>0</v>
      </c>
      <c r="L316">
        <v>-90</v>
      </c>
      <c r="M316" s="2">
        <v>37.632933333333334</v>
      </c>
      <c r="N316" s="2">
        <v>141.01338666666666</v>
      </c>
      <c r="O316" s="4">
        <v>10.5564</v>
      </c>
      <c r="P316" s="5">
        <v>90.7</v>
      </c>
      <c r="Q316" s="2">
        <f>6378137*ACOS(SIN(RADIANS(H316))*SIN(RADIANS(M316))+COS(RADIANS(H316))*COS(RADIANS(M316))*COS(RADIANS(I316)-RADIANS(N316)))</f>
        <v>43.242800766226601</v>
      </c>
    </row>
    <row r="317" spans="1:17" x14ac:dyDescent="0.7">
      <c r="A317">
        <v>62.5</v>
      </c>
      <c r="B317" s="3">
        <v>0.51379629629629631</v>
      </c>
      <c r="C317" s="2">
        <v>37.63292666666667</v>
      </c>
      <c r="D317" s="2">
        <v>141.01341833333333</v>
      </c>
      <c r="E317" s="4">
        <v>10.5564</v>
      </c>
      <c r="F317" s="5">
        <v>90.4</v>
      </c>
      <c r="G317">
        <v>-76</v>
      </c>
      <c r="H317" s="2">
        <v>37.633013333333331</v>
      </c>
      <c r="I317" s="2">
        <v>141.01290666666668</v>
      </c>
      <c r="J317" s="4">
        <v>0</v>
      </c>
      <c r="K317" s="5">
        <v>0</v>
      </c>
      <c r="L317">
        <v>-86</v>
      </c>
      <c r="M317" s="2">
        <v>37.632933333333334</v>
      </c>
      <c r="N317" s="2">
        <v>141.01341333333332</v>
      </c>
      <c r="O317" s="4">
        <v>10.5564</v>
      </c>
      <c r="P317" s="5">
        <v>90.4</v>
      </c>
      <c r="Q317" s="2">
        <f>6378137*ACOS(SIN(RADIANS(H317))*SIN(RADIANS(M317))+COS(RADIANS(H317))*COS(RADIANS(M317))*COS(RADIANS(I317)-RADIANS(N317)))</f>
        <v>45.545877339185751</v>
      </c>
    </row>
    <row r="318" spans="1:17" x14ac:dyDescent="0.7">
      <c r="A318">
        <v>67.5</v>
      </c>
      <c r="B318" s="3">
        <v>0.51380787037037035</v>
      </c>
      <c r="C318" s="2">
        <v>37.63292666666667</v>
      </c>
      <c r="D318" s="2">
        <v>141.01345499999999</v>
      </c>
      <c r="E318" s="4">
        <v>10.5564</v>
      </c>
      <c r="F318" s="5">
        <v>89.5</v>
      </c>
      <c r="G318">
        <v>-75</v>
      </c>
      <c r="H318" s="2">
        <v>37.633013333333331</v>
      </c>
      <c r="I318" s="2">
        <v>141.01290666666668</v>
      </c>
      <c r="J318" s="4">
        <v>0</v>
      </c>
      <c r="K318" s="5">
        <v>0</v>
      </c>
      <c r="L318">
        <v>-84</v>
      </c>
      <c r="M318" s="2">
        <v>37.632933333333334</v>
      </c>
      <c r="N318" s="2">
        <v>141.01344</v>
      </c>
      <c r="O318" s="4">
        <v>10.5564</v>
      </c>
      <c r="P318" s="5">
        <v>89.5</v>
      </c>
      <c r="Q318" s="2">
        <f>6378137*ACOS(SIN(RADIANS(H318))*SIN(RADIANS(M318))+COS(RADIANS(H318))*COS(RADIANS(M318))*COS(RADIANS(I318)-RADIANS(N318)))</f>
        <v>47.85363470967269</v>
      </c>
    </row>
    <row r="319" spans="1:17" x14ac:dyDescent="0.7">
      <c r="A319">
        <v>77.5</v>
      </c>
      <c r="B319" s="3">
        <v>0.51385416666666661</v>
      </c>
      <c r="C319" s="2">
        <v>37.632923333333331</v>
      </c>
      <c r="D319" s="2">
        <v>141.01360666666667</v>
      </c>
      <c r="E319" s="4">
        <v>11.4824</v>
      </c>
      <c r="F319" s="5">
        <v>92.1</v>
      </c>
      <c r="G319">
        <v>-74</v>
      </c>
      <c r="H319" s="2">
        <v>37.632946666666662</v>
      </c>
      <c r="I319" s="2">
        <v>141.01375999999999</v>
      </c>
      <c r="J319" s="4">
        <v>0</v>
      </c>
      <c r="K319" s="5">
        <v>0</v>
      </c>
      <c r="L319">
        <v>-53</v>
      </c>
      <c r="M319" s="2">
        <v>37.63292666666667</v>
      </c>
      <c r="N319" s="2">
        <v>141.01360000000003</v>
      </c>
      <c r="O319" s="4">
        <v>11.4824</v>
      </c>
      <c r="P319" s="5">
        <v>92.1</v>
      </c>
      <c r="Q319" s="2">
        <f>6378137*ACOS(SIN(RADIANS(H319))*SIN(RADIANS(M319))+COS(RADIANS(H319))*COS(RADIANS(M319))*COS(RADIANS(I319)-RADIANS(N319)))</f>
        <v>14.279987777153901</v>
      </c>
    </row>
    <row r="320" spans="1:17" x14ac:dyDescent="0.7">
      <c r="A320">
        <v>77.5</v>
      </c>
      <c r="B320" s="3">
        <v>0.51439814814814822</v>
      </c>
      <c r="C320" s="2">
        <v>37.632903333333338</v>
      </c>
      <c r="D320" s="2">
        <v>141.01359499999998</v>
      </c>
      <c r="E320" s="4">
        <v>24.631600000000002</v>
      </c>
      <c r="F320" s="5">
        <v>270.2</v>
      </c>
      <c r="G320">
        <v>-76</v>
      </c>
      <c r="H320" s="2">
        <v>37.633013333333331</v>
      </c>
      <c r="I320" s="2">
        <v>141.01290666666668</v>
      </c>
      <c r="J320" s="4">
        <v>0</v>
      </c>
      <c r="K320" s="5">
        <v>0</v>
      </c>
      <c r="L320">
        <v>-65</v>
      </c>
      <c r="M320" s="2">
        <v>37.632906666666671</v>
      </c>
      <c r="N320" s="2">
        <v>141.01357333333331</v>
      </c>
      <c r="O320" s="4">
        <v>24.631600000000002</v>
      </c>
      <c r="P320" s="5">
        <v>270.2</v>
      </c>
      <c r="Q320" s="2">
        <f>6378137*ACOS(SIN(RADIANS(H320))*SIN(RADIANS(M320))+COS(RADIANS(H320))*COS(RADIANS(M320))*COS(RADIANS(I320)-RADIANS(N320)))</f>
        <v>59.95960536698891</v>
      </c>
    </row>
    <row r="321" spans="1:18" x14ac:dyDescent="0.7">
      <c r="A321">
        <v>27.5</v>
      </c>
      <c r="B321" s="3">
        <v>0.51504629629629628</v>
      </c>
      <c r="C321" s="2">
        <v>37.632936666666666</v>
      </c>
      <c r="D321" s="2">
        <v>141.01300833333335</v>
      </c>
      <c r="E321" s="4">
        <v>21.298000000000002</v>
      </c>
      <c r="F321" s="5">
        <v>89.1</v>
      </c>
      <c r="G321">
        <v>-76</v>
      </c>
      <c r="H321" s="2">
        <v>37.633020000000002</v>
      </c>
      <c r="I321" s="2">
        <v>141.01290666666668</v>
      </c>
      <c r="J321" s="4">
        <v>0</v>
      </c>
      <c r="K321" s="5">
        <v>0</v>
      </c>
      <c r="L321">
        <v>-82</v>
      </c>
      <c r="M321" s="2">
        <v>37.632933333333334</v>
      </c>
      <c r="N321" s="2">
        <v>141.01301333333333</v>
      </c>
      <c r="O321" s="4">
        <v>21.298000000000002</v>
      </c>
      <c r="P321" s="5">
        <v>89.1</v>
      </c>
      <c r="Q321" s="2">
        <f>6378137*ACOS(SIN(RADIANS(H321))*SIN(RADIANS(M321))+COS(RADIANS(H321))*COS(RADIANS(M321))*COS(RADIANS(I321)-RADIANS(N321)))</f>
        <v>13.472132587564356</v>
      </c>
    </row>
    <row r="322" spans="1:18" x14ac:dyDescent="0.7">
      <c r="A322">
        <v>32.5</v>
      </c>
      <c r="B322" s="3">
        <v>0.51505787037037043</v>
      </c>
      <c r="C322" s="2">
        <v>37.632938333333328</v>
      </c>
      <c r="D322" s="2">
        <v>141.01308666666668</v>
      </c>
      <c r="E322" s="4">
        <v>20.186800000000002</v>
      </c>
      <c r="F322" s="5">
        <v>89.7</v>
      </c>
      <c r="G322">
        <v>-77</v>
      </c>
      <c r="H322" s="2">
        <v>37.633013333333331</v>
      </c>
      <c r="I322" s="2">
        <v>141.01290666666668</v>
      </c>
      <c r="J322" s="4">
        <v>0</v>
      </c>
      <c r="K322" s="5">
        <v>0</v>
      </c>
      <c r="L322">
        <v>-83</v>
      </c>
      <c r="M322" s="2">
        <v>37.632939999999998</v>
      </c>
      <c r="N322" s="2">
        <v>141.01309333333333</v>
      </c>
      <c r="O322" s="4">
        <v>20.186800000000002</v>
      </c>
      <c r="P322" s="5">
        <v>89.7</v>
      </c>
      <c r="Q322" s="2">
        <f>6378137*ACOS(SIN(RADIANS(H322))*SIN(RADIANS(M322))+COS(RADIANS(H322))*COS(RADIANS(M322))*COS(RADIANS(I322)-RADIANS(N322)))</f>
        <v>18.369610694309134</v>
      </c>
    </row>
    <row r="323" spans="1:18" x14ac:dyDescent="0.7">
      <c r="A323">
        <v>57.5</v>
      </c>
      <c r="B323" s="3">
        <v>0.5151041666666667</v>
      </c>
      <c r="C323" s="2">
        <v>37.632933333333334</v>
      </c>
      <c r="D323" s="2">
        <v>141.01336666666666</v>
      </c>
      <c r="E323" s="4">
        <v>20.557200000000002</v>
      </c>
      <c r="F323" s="5">
        <v>91</v>
      </c>
      <c r="G323">
        <v>-75</v>
      </c>
      <c r="H323" s="2">
        <v>37.633013333333331</v>
      </c>
      <c r="I323" s="2">
        <v>141.01290666666668</v>
      </c>
      <c r="J323" s="4">
        <v>0</v>
      </c>
      <c r="K323" s="5">
        <v>0</v>
      </c>
      <c r="L323">
        <v>-82</v>
      </c>
      <c r="M323" s="2">
        <v>37.632933333333334</v>
      </c>
      <c r="N323" s="2">
        <v>141.01336000000001</v>
      </c>
      <c r="O323" s="4">
        <v>20.557200000000002</v>
      </c>
      <c r="P323" s="5">
        <v>91</v>
      </c>
      <c r="Q323" s="2">
        <f>6378137*ACOS(SIN(RADIANS(H323))*SIN(RADIANS(M323))+COS(RADIANS(H323))*COS(RADIANS(M323))*COS(RADIANS(I323)-RADIANS(N323)))</f>
        <v>40.945194849682302</v>
      </c>
    </row>
    <row r="324" spans="1:18" x14ac:dyDescent="0.7">
      <c r="A324">
        <v>62.5</v>
      </c>
      <c r="B324" s="3">
        <v>0.51511574074074074</v>
      </c>
      <c r="C324" s="2">
        <v>37.632931666666664</v>
      </c>
      <c r="D324" s="2">
        <v>141.01343499999999</v>
      </c>
      <c r="E324" s="4">
        <v>20.557200000000002</v>
      </c>
      <c r="F324" s="5">
        <v>90.6</v>
      </c>
      <c r="G324">
        <v>-76</v>
      </c>
      <c r="H324" s="2">
        <v>37.633013333333331</v>
      </c>
      <c r="I324" s="2">
        <v>141.01290666666668</v>
      </c>
      <c r="J324" s="4">
        <v>0</v>
      </c>
      <c r="K324" s="5">
        <v>0</v>
      </c>
      <c r="L324">
        <v>-86</v>
      </c>
      <c r="M324" s="2">
        <v>37.632933333333334</v>
      </c>
      <c r="N324" s="2">
        <v>141.01344</v>
      </c>
      <c r="O324" s="4">
        <v>20.557200000000002</v>
      </c>
      <c r="P324" s="5">
        <v>90.6</v>
      </c>
      <c r="Q324" s="2">
        <f>6378137*ACOS(SIN(RADIANS(H324))*SIN(RADIANS(M324))+COS(RADIANS(H324))*COS(RADIANS(M324))*COS(RADIANS(I324)-RADIANS(N324)))</f>
        <v>47.85363470967269</v>
      </c>
    </row>
    <row r="325" spans="1:18" x14ac:dyDescent="0.7">
      <c r="A325">
        <v>67.5</v>
      </c>
      <c r="B325" s="3">
        <v>0.51511574074074074</v>
      </c>
      <c r="C325" s="2">
        <v>37.632931666666664</v>
      </c>
      <c r="D325" s="2">
        <v>141.01343499999999</v>
      </c>
      <c r="E325" s="4">
        <v>20.557200000000002</v>
      </c>
      <c r="F325" s="5">
        <v>90.6</v>
      </c>
      <c r="G325">
        <v>-76</v>
      </c>
      <c r="H325" s="2">
        <v>37.633013333333331</v>
      </c>
      <c r="I325" s="2">
        <v>141.01290666666668</v>
      </c>
      <c r="J325" s="4">
        <v>0</v>
      </c>
      <c r="K325" s="5">
        <v>0</v>
      </c>
      <c r="L325">
        <v>-86</v>
      </c>
      <c r="M325" s="2">
        <v>37.632933333333334</v>
      </c>
      <c r="N325" s="2">
        <v>141.01344</v>
      </c>
      <c r="O325" s="4">
        <v>20.557200000000002</v>
      </c>
      <c r="P325" s="5">
        <v>90.6</v>
      </c>
      <c r="Q325" s="2">
        <f>6378137*ACOS(SIN(RADIANS(H325))*SIN(RADIANS(M325))+COS(RADIANS(H325))*COS(RADIANS(M325))*COS(RADIANS(I325)-RADIANS(N325)))</f>
        <v>47.85363470967269</v>
      </c>
    </row>
    <row r="326" spans="1:18" x14ac:dyDescent="0.7">
      <c r="A326">
        <v>67.5</v>
      </c>
      <c r="B326" s="3">
        <v>0.51512731481481489</v>
      </c>
      <c r="C326" s="2">
        <v>37.632930000000002</v>
      </c>
      <c r="D326" s="2">
        <v>141.01350499999998</v>
      </c>
      <c r="E326" s="4">
        <v>20.372</v>
      </c>
      <c r="F326" s="5">
        <v>90.5</v>
      </c>
      <c r="G326">
        <v>-76</v>
      </c>
      <c r="H326" s="2">
        <v>37.633013333333331</v>
      </c>
      <c r="I326" s="2">
        <v>141.01290666666668</v>
      </c>
      <c r="J326" s="4">
        <v>0</v>
      </c>
      <c r="K326" s="5">
        <v>0</v>
      </c>
      <c r="L326">
        <v>-90</v>
      </c>
      <c r="M326" s="2">
        <v>37.632933333333334</v>
      </c>
      <c r="N326" s="2">
        <v>141.01349333333334</v>
      </c>
      <c r="O326" s="4">
        <v>20.372</v>
      </c>
      <c r="P326" s="5">
        <v>90.5</v>
      </c>
      <c r="Q326" s="2">
        <f>6378137*ACOS(SIN(RADIANS(H326))*SIN(RADIANS(M326))+COS(RADIANS(H326))*COS(RADIANS(M326))*COS(RADIANS(I326)-RADIANS(N326)))</f>
        <v>52.480548554453129</v>
      </c>
    </row>
    <row r="327" spans="1:18" x14ac:dyDescent="0.7">
      <c r="A327">
        <v>72.5</v>
      </c>
      <c r="B327" s="3">
        <v>0.51512731481481489</v>
      </c>
      <c r="C327" s="2">
        <v>37.632930000000002</v>
      </c>
      <c r="D327" s="2">
        <v>141.01350499999998</v>
      </c>
      <c r="E327" s="4">
        <v>20.372</v>
      </c>
      <c r="F327" s="5">
        <v>90.5</v>
      </c>
      <c r="G327">
        <v>-76</v>
      </c>
      <c r="H327" s="2">
        <v>37.633013333333331</v>
      </c>
      <c r="I327" s="2">
        <v>141.01290666666668</v>
      </c>
      <c r="J327" s="4">
        <v>0</v>
      </c>
      <c r="K327" s="5">
        <v>0</v>
      </c>
      <c r="L327">
        <v>-90</v>
      </c>
      <c r="M327" s="2">
        <v>37.632933333333334</v>
      </c>
      <c r="N327" s="2">
        <v>141.01349333333334</v>
      </c>
      <c r="O327" s="4">
        <v>20.372</v>
      </c>
      <c r="P327" s="5">
        <v>90.5</v>
      </c>
      <c r="Q327" s="2">
        <f>6378137*ACOS(SIN(RADIANS(H327))*SIN(RADIANS(M327))+COS(RADIANS(H327))*COS(RADIANS(M327))*COS(RADIANS(I327)-RADIANS(N327)))</f>
        <v>52.480548554453129</v>
      </c>
    </row>
    <row r="328" spans="1:18" x14ac:dyDescent="0.7">
      <c r="A328">
        <v>72.5</v>
      </c>
      <c r="B328" s="3">
        <v>0.51513888888888892</v>
      </c>
      <c r="C328" s="2">
        <v>37.63292666666667</v>
      </c>
      <c r="D328" s="2">
        <v>141.013575</v>
      </c>
      <c r="E328" s="4">
        <v>20.557200000000002</v>
      </c>
      <c r="F328" s="5">
        <v>90.8</v>
      </c>
      <c r="G328">
        <v>-77</v>
      </c>
      <c r="H328" s="2">
        <v>37.633013333333331</v>
      </c>
      <c r="I328" s="2">
        <v>141.01290666666668</v>
      </c>
      <c r="J328" s="4">
        <v>0</v>
      </c>
      <c r="K328" s="5">
        <v>0</v>
      </c>
      <c r="L328">
        <v>-92</v>
      </c>
      <c r="M328" s="2">
        <v>37.632933333333334</v>
      </c>
      <c r="N328" s="2">
        <v>141.01357333333331</v>
      </c>
      <c r="O328" s="4">
        <v>20.557200000000002</v>
      </c>
      <c r="P328" s="5">
        <v>90.8</v>
      </c>
      <c r="Q328" s="2">
        <f>6378137*ACOS(SIN(RADIANS(H328))*SIN(RADIANS(M328))+COS(RADIANS(H328))*COS(RADIANS(M328))*COS(RADIANS(I328)-RADIANS(N328)))</f>
        <v>59.442909315997234</v>
      </c>
    </row>
    <row r="329" spans="1:18" x14ac:dyDescent="0.7">
      <c r="A329">
        <v>77.5</v>
      </c>
      <c r="B329" s="3">
        <v>0.51513888888888892</v>
      </c>
      <c r="C329" s="2">
        <v>37.63292666666667</v>
      </c>
      <c r="D329" s="2">
        <v>141.013575</v>
      </c>
      <c r="E329" s="4">
        <v>20.557200000000002</v>
      </c>
      <c r="F329" s="5">
        <v>90.8</v>
      </c>
      <c r="G329">
        <v>-77</v>
      </c>
      <c r="H329" s="2">
        <v>37.633013333333331</v>
      </c>
      <c r="I329" s="2">
        <v>141.01290666666668</v>
      </c>
      <c r="J329" s="4">
        <v>0</v>
      </c>
      <c r="K329" s="5">
        <v>0</v>
      </c>
      <c r="L329">
        <v>-92</v>
      </c>
      <c r="M329" s="2">
        <v>37.632933333333334</v>
      </c>
      <c r="N329" s="2">
        <v>141.01357333333331</v>
      </c>
      <c r="O329" s="4">
        <v>20.557200000000002</v>
      </c>
      <c r="P329" s="5">
        <v>90.8</v>
      </c>
      <c r="Q329" s="2">
        <f>6378137*ACOS(SIN(RADIANS(H329))*SIN(RADIANS(M329))+COS(RADIANS(H329))*COS(RADIANS(M329))*COS(RADIANS(I329)-RADIANS(N329)))</f>
        <v>59.442909315997234</v>
      </c>
    </row>
    <row r="330" spans="1:18" x14ac:dyDescent="0.7">
      <c r="A330">
        <v>77.5</v>
      </c>
      <c r="B330" s="3">
        <v>0.51564814814814819</v>
      </c>
      <c r="C330" s="2">
        <v>37.632901666666662</v>
      </c>
      <c r="D330" s="2">
        <v>141.01362333333333</v>
      </c>
      <c r="E330" s="4">
        <v>26.483600000000003</v>
      </c>
      <c r="F330" s="5">
        <v>269.60000000000002</v>
      </c>
      <c r="G330">
        <v>-76</v>
      </c>
      <c r="H330" s="2">
        <v>37.633006666666667</v>
      </c>
      <c r="I330" s="2">
        <v>141.01290666666668</v>
      </c>
      <c r="J330" s="4">
        <v>0</v>
      </c>
      <c r="K330" s="5">
        <v>0</v>
      </c>
      <c r="L330">
        <v>-63</v>
      </c>
      <c r="M330" s="2">
        <v>37.632899999999999</v>
      </c>
      <c r="N330" s="2">
        <v>141.01362666666668</v>
      </c>
      <c r="O330" s="4">
        <v>26.483600000000003</v>
      </c>
      <c r="P330" s="5">
        <v>269.60000000000002</v>
      </c>
      <c r="Q330" s="2">
        <f>6378137*ACOS(SIN(RADIANS(H330))*SIN(RADIANS(M330))+COS(RADIANS(H330))*COS(RADIANS(M330))*COS(RADIANS(I330)-RADIANS(N330)))</f>
        <v>64.574907221548585</v>
      </c>
    </row>
    <row r="331" spans="1:18" x14ac:dyDescent="0.7">
      <c r="A331">
        <v>2.5</v>
      </c>
      <c r="B331" s="3">
        <v>0.51634259259259263</v>
      </c>
      <c r="C331" s="2">
        <v>37.632951666666671</v>
      </c>
      <c r="D331" s="2">
        <v>141.01273333333333</v>
      </c>
      <c r="E331" s="4">
        <v>36.299200000000006</v>
      </c>
      <c r="F331" s="5">
        <v>90</v>
      </c>
      <c r="G331">
        <v>-68</v>
      </c>
      <c r="H331" s="2">
        <v>37.633013333333331</v>
      </c>
      <c r="I331" s="2">
        <v>141.01290666666668</v>
      </c>
      <c r="J331" s="4">
        <v>0</v>
      </c>
      <c r="K331" s="5">
        <v>0</v>
      </c>
      <c r="L331">
        <v>-72</v>
      </c>
      <c r="M331" s="2">
        <v>37.632946666666662</v>
      </c>
      <c r="N331" s="2">
        <v>141.01274666666669</v>
      </c>
      <c r="O331" s="4">
        <v>36.299199999999999</v>
      </c>
      <c r="P331" s="5">
        <v>90</v>
      </c>
      <c r="Q331" s="2">
        <f>6378137*ACOS(SIN(RADIANS(H331))*SIN(RADIANS(M331))+COS(RADIANS(H331))*COS(RADIANS(M331))*COS(RADIANS(I331)-RADIANS(N331)))</f>
        <v>15.938402116780987</v>
      </c>
      <c r="R331" t="s">
        <v>152</v>
      </c>
    </row>
    <row r="332" spans="1:18" x14ac:dyDescent="0.7">
      <c r="A332">
        <v>7.5</v>
      </c>
      <c r="B332" s="3">
        <v>0.51635416666666667</v>
      </c>
      <c r="C332" s="2">
        <v>37.632950000000001</v>
      </c>
      <c r="D332" s="2">
        <v>141.01282</v>
      </c>
      <c r="E332" s="4">
        <v>36.299200000000006</v>
      </c>
      <c r="F332" s="5">
        <v>90.3</v>
      </c>
      <c r="G332">
        <v>-76</v>
      </c>
      <c r="H332" s="2">
        <v>37.633013333333331</v>
      </c>
      <c r="I332" s="2">
        <v>141.01290666666668</v>
      </c>
      <c r="J332" s="4">
        <v>0</v>
      </c>
      <c r="K332" s="5">
        <v>0</v>
      </c>
      <c r="L332">
        <v>-80</v>
      </c>
      <c r="M332" s="2">
        <v>37.632946666666662</v>
      </c>
      <c r="N332" s="2">
        <v>141.01282666666665</v>
      </c>
      <c r="O332" s="4">
        <v>36.299199999999999</v>
      </c>
      <c r="P332" s="5">
        <v>90.3</v>
      </c>
      <c r="Q332" s="2">
        <f>6378137*ACOS(SIN(RADIANS(H332))*SIN(RADIANS(M332))+COS(RADIANS(H332))*COS(RADIANS(M332))*COS(RADIANS(I332)-RADIANS(N332)))</f>
        <v>10.238063439165638</v>
      </c>
      <c r="R332" t="s">
        <v>152</v>
      </c>
    </row>
    <row r="333" spans="1:18" x14ac:dyDescent="0.7">
      <c r="A333">
        <v>27.5</v>
      </c>
      <c r="B333" s="3">
        <v>0.51637731481481486</v>
      </c>
      <c r="C333" s="2">
        <v>37.632948333333339</v>
      </c>
      <c r="D333" s="2">
        <v>141.01301000000001</v>
      </c>
      <c r="E333" s="4">
        <v>35.373200000000004</v>
      </c>
      <c r="F333" s="5">
        <v>90.6</v>
      </c>
      <c r="G333">
        <v>-76</v>
      </c>
      <c r="H333" s="2">
        <v>37.633013333333331</v>
      </c>
      <c r="I333" s="2">
        <v>141.01290666666668</v>
      </c>
      <c r="J333" s="4">
        <v>0</v>
      </c>
      <c r="K333" s="5">
        <v>0</v>
      </c>
      <c r="L333">
        <v>-90</v>
      </c>
      <c r="M333" s="2">
        <v>37.632946666666662</v>
      </c>
      <c r="N333" s="2">
        <v>141.01301333333333</v>
      </c>
      <c r="O333" s="4">
        <v>35.373200000000004</v>
      </c>
      <c r="P333" s="5">
        <v>90.6</v>
      </c>
      <c r="Q333" s="2">
        <f>6378137*ACOS(SIN(RADIANS(H333))*SIN(RADIANS(M333))+COS(RADIANS(H333))*COS(RADIANS(M333))*COS(RADIANS(I333)-RADIANS(N333)))</f>
        <v>11.979018492058916</v>
      </c>
      <c r="R333" t="s">
        <v>152</v>
      </c>
    </row>
    <row r="334" spans="1:18" x14ac:dyDescent="0.7">
      <c r="A334">
        <v>37.5</v>
      </c>
      <c r="B334" s="3">
        <v>0.5163888888888889</v>
      </c>
      <c r="C334" s="2">
        <v>37.632946666666662</v>
      </c>
      <c r="D334" s="2">
        <v>141.01311666666666</v>
      </c>
      <c r="E334" s="4">
        <v>35.558399999999999</v>
      </c>
      <c r="F334" s="5">
        <v>90.7</v>
      </c>
      <c r="G334">
        <v>-77</v>
      </c>
      <c r="H334" s="2">
        <v>37.633013333333331</v>
      </c>
      <c r="I334" s="2">
        <v>141.01290666666668</v>
      </c>
      <c r="J334" s="4">
        <v>0</v>
      </c>
      <c r="K334" s="5">
        <v>0</v>
      </c>
      <c r="L334">
        <v>-87</v>
      </c>
      <c r="M334" s="2">
        <v>37.632946666666662</v>
      </c>
      <c r="N334" s="2">
        <v>141.01312000000001</v>
      </c>
      <c r="O334" s="4">
        <v>35.558399999999999</v>
      </c>
      <c r="P334" s="5">
        <v>90.7</v>
      </c>
      <c r="Q334" s="2">
        <f>6378137*ACOS(SIN(RADIANS(H334))*SIN(RADIANS(M334))+COS(RADIANS(H334))*COS(RADIANS(M334))*COS(RADIANS(I334)-RADIANS(N334)))</f>
        <v>20.218421250927669</v>
      </c>
      <c r="R334" t="s">
        <v>152</v>
      </c>
    </row>
    <row r="335" spans="1:18" x14ac:dyDescent="0.7">
      <c r="A335">
        <v>42.5</v>
      </c>
      <c r="B335" s="3">
        <v>0.51640046296296294</v>
      </c>
      <c r="C335" s="2">
        <v>37.632944999999999</v>
      </c>
      <c r="D335" s="2">
        <v>141.01322999999999</v>
      </c>
      <c r="E335" s="4">
        <v>35.928800000000003</v>
      </c>
      <c r="F335" s="5">
        <v>90.7</v>
      </c>
      <c r="G335">
        <v>-77</v>
      </c>
      <c r="H335" s="2">
        <v>37.633013333333331</v>
      </c>
      <c r="I335" s="2">
        <v>141.01290666666668</v>
      </c>
      <c r="J335" s="4">
        <v>0</v>
      </c>
      <c r="K335" s="5">
        <v>0</v>
      </c>
      <c r="L335">
        <v>-88</v>
      </c>
      <c r="M335" s="2">
        <v>37.632946666666662</v>
      </c>
      <c r="N335" s="2">
        <v>141.01322666666667</v>
      </c>
      <c r="O335" s="4">
        <v>35.928800000000003</v>
      </c>
      <c r="P335" s="5">
        <v>90.7</v>
      </c>
      <c r="Q335" s="2">
        <f>6378137*ACOS(SIN(RADIANS(H335))*SIN(RADIANS(M335))+COS(RADIANS(H335))*COS(RADIANS(M335))*COS(RADIANS(I335)-RADIANS(N335)))</f>
        <v>29.17035488630513</v>
      </c>
      <c r="R335" t="s">
        <v>152</v>
      </c>
    </row>
    <row r="336" spans="1:18" x14ac:dyDescent="0.7">
      <c r="A336">
        <v>47.5</v>
      </c>
      <c r="B336" s="3">
        <v>0.51640046296296294</v>
      </c>
      <c r="C336" s="2">
        <v>37.632944999999999</v>
      </c>
      <c r="D336" s="2">
        <v>141.01322999999999</v>
      </c>
      <c r="E336" s="4">
        <v>35.928800000000003</v>
      </c>
      <c r="F336" s="5">
        <v>90.7</v>
      </c>
      <c r="G336">
        <v>-77</v>
      </c>
      <c r="H336" s="2">
        <v>37.633013333333331</v>
      </c>
      <c r="I336" s="2">
        <v>141.01290666666668</v>
      </c>
      <c r="J336" s="4">
        <v>0</v>
      </c>
      <c r="K336" s="5">
        <v>0</v>
      </c>
      <c r="L336">
        <v>-88</v>
      </c>
      <c r="M336" s="2">
        <v>37.632946666666662</v>
      </c>
      <c r="N336" s="2">
        <v>141.01322666666667</v>
      </c>
      <c r="O336" s="4">
        <v>35.928800000000003</v>
      </c>
      <c r="P336" s="5">
        <v>90.7</v>
      </c>
      <c r="Q336" s="2">
        <f>6378137*ACOS(SIN(RADIANS(H336))*SIN(RADIANS(M336))+COS(RADIANS(H336))*COS(RADIANS(M336))*COS(RADIANS(I336)-RADIANS(N336)))</f>
        <v>29.17035488630513</v>
      </c>
      <c r="R336" t="s">
        <v>152</v>
      </c>
    </row>
    <row r="337" spans="1:18" x14ac:dyDescent="0.7">
      <c r="A337">
        <v>57.5</v>
      </c>
      <c r="B337" s="3">
        <v>0.51641203703703698</v>
      </c>
      <c r="C337" s="2">
        <v>37.632944999999999</v>
      </c>
      <c r="D337" s="2">
        <v>141.01334666666668</v>
      </c>
      <c r="E337" s="4">
        <v>36.114000000000004</v>
      </c>
      <c r="F337" s="5">
        <v>90.7</v>
      </c>
      <c r="G337">
        <v>-77</v>
      </c>
      <c r="H337" s="2">
        <v>37.633013333333331</v>
      </c>
      <c r="I337" s="2">
        <v>141.01290666666668</v>
      </c>
      <c r="J337" s="4">
        <v>0</v>
      </c>
      <c r="K337" s="5">
        <v>0</v>
      </c>
      <c r="L337">
        <v>-99</v>
      </c>
      <c r="M337" s="2">
        <v>37.632946666666662</v>
      </c>
      <c r="N337" s="2">
        <v>141.01333333333332</v>
      </c>
      <c r="O337" s="4">
        <v>36.114000000000004</v>
      </c>
      <c r="P337" s="5">
        <v>90.7</v>
      </c>
      <c r="Q337" s="2">
        <f>6378137*ACOS(SIN(RADIANS(H337))*SIN(RADIANS(M337))+COS(RADIANS(H337))*COS(RADIANS(M337))*COS(RADIANS(I337)-RADIANS(N337)))</f>
        <v>38.339263447241478</v>
      </c>
      <c r="R337" t="s">
        <v>152</v>
      </c>
    </row>
    <row r="338" spans="1:18" x14ac:dyDescent="0.7">
      <c r="A338">
        <v>57.5</v>
      </c>
      <c r="B338" s="3">
        <v>0.51749999999999996</v>
      </c>
      <c r="C338" s="2">
        <v>37.632955000000003</v>
      </c>
      <c r="D338" s="2">
        <v>141.01337000000001</v>
      </c>
      <c r="E338" s="4">
        <v>11.4824</v>
      </c>
      <c r="F338" s="5">
        <v>304.60000000000002</v>
      </c>
      <c r="G338">
        <v>-70</v>
      </c>
      <c r="H338" s="2">
        <v>37.633013333333331</v>
      </c>
      <c r="I338" s="2">
        <v>141.01290666666668</v>
      </c>
      <c r="J338" s="4">
        <v>0</v>
      </c>
      <c r="K338" s="5">
        <v>0</v>
      </c>
      <c r="L338">
        <v>-89</v>
      </c>
      <c r="M338" s="2">
        <v>37.632953333333333</v>
      </c>
      <c r="N338" s="2">
        <v>141.01336000000001</v>
      </c>
      <c r="O338" s="4">
        <v>11.4824</v>
      </c>
      <c r="P338" s="5">
        <v>304.60000000000002</v>
      </c>
      <c r="Q338" s="2">
        <f>6378137*ACOS(SIN(RADIANS(H338))*SIN(RADIANS(M338))+COS(RADIANS(H338))*COS(RADIANS(M338))*COS(RADIANS(I338)-RADIANS(N338)))</f>
        <v>40.519298557086401</v>
      </c>
    </row>
    <row r="339" spans="1:18" x14ac:dyDescent="0.7">
      <c r="A339">
        <v>77.5</v>
      </c>
      <c r="B339" s="3">
        <v>0.56539351851851849</v>
      </c>
      <c r="C339" s="2">
        <v>37.632911666666672</v>
      </c>
      <c r="D339" s="2">
        <v>141.01362166666667</v>
      </c>
      <c r="E339" s="4">
        <v>18.52</v>
      </c>
      <c r="F339" s="5">
        <v>270.60000000000002</v>
      </c>
      <c r="G339">
        <v>-76</v>
      </c>
      <c r="H339" s="2">
        <v>37.632993333333339</v>
      </c>
      <c r="I339" s="2">
        <v>141.01375999999999</v>
      </c>
      <c r="J339" s="4">
        <v>0</v>
      </c>
      <c r="K339" s="5">
        <v>313</v>
      </c>
      <c r="L339">
        <v>-68</v>
      </c>
      <c r="M339" s="2">
        <v>37.632913333333335</v>
      </c>
      <c r="N339" s="2">
        <v>141.01362666666668</v>
      </c>
      <c r="O339" s="4">
        <v>18.52</v>
      </c>
      <c r="P339" s="5">
        <v>270.60000000000002</v>
      </c>
      <c r="Q339" s="2">
        <f>6378137*ACOS(SIN(RADIANS(H339))*SIN(RADIANS(M339))+COS(RADIANS(H339))*COS(RADIANS(M339))*COS(RADIANS(I339)-RADIANS(N339)))</f>
        <v>14.747082964787397</v>
      </c>
    </row>
    <row r="340" spans="1:18" x14ac:dyDescent="0.7">
      <c r="A340">
        <v>77.5</v>
      </c>
      <c r="B340" s="3">
        <v>0.56540509259259253</v>
      </c>
      <c r="C340" s="2">
        <v>37.632910000000003</v>
      </c>
      <c r="D340" s="2">
        <v>141.01355999999998</v>
      </c>
      <c r="E340" s="4">
        <v>18.705200000000001</v>
      </c>
      <c r="F340" s="5">
        <v>270.60000000000002</v>
      </c>
      <c r="G340">
        <v>-76</v>
      </c>
      <c r="H340" s="2">
        <v>37.632993333333339</v>
      </c>
      <c r="I340" s="2">
        <v>141.01375999999999</v>
      </c>
      <c r="J340" s="4">
        <v>0</v>
      </c>
      <c r="K340" s="5">
        <v>313</v>
      </c>
      <c r="L340">
        <v>-68</v>
      </c>
      <c r="M340" s="2">
        <v>37.632906666666671</v>
      </c>
      <c r="N340" s="2">
        <v>141.01354666666666</v>
      </c>
      <c r="O340" s="4">
        <v>18.705200000000001</v>
      </c>
      <c r="P340" s="5">
        <v>270.60000000000002</v>
      </c>
      <c r="Q340" s="2">
        <f>6378137*ACOS(SIN(RADIANS(H340))*SIN(RADIANS(M340))+COS(RADIANS(H340))*COS(RADIANS(M340))*COS(RADIANS(I340)-RADIANS(N340)))</f>
        <v>21.137313696757449</v>
      </c>
    </row>
    <row r="341" spans="1:18" x14ac:dyDescent="0.7">
      <c r="A341">
        <v>2.5</v>
      </c>
      <c r="B341" s="3">
        <v>0.56603009259259263</v>
      </c>
      <c r="C341" s="2">
        <v>37.632953333333333</v>
      </c>
      <c r="D341" s="2">
        <v>141.01271499999999</v>
      </c>
      <c r="E341" s="4">
        <v>15.186399999999999</v>
      </c>
      <c r="F341" s="5">
        <v>92.5</v>
      </c>
      <c r="G341">
        <v>-76</v>
      </c>
      <c r="H341" s="2">
        <v>37.632966666666668</v>
      </c>
      <c r="I341" s="2">
        <v>141.01285333333331</v>
      </c>
      <c r="J341" s="4">
        <v>0</v>
      </c>
      <c r="K341" s="5">
        <v>0</v>
      </c>
      <c r="L341">
        <v>-40</v>
      </c>
      <c r="M341" s="2">
        <v>37.632946666666662</v>
      </c>
      <c r="N341" s="2">
        <v>141.01272</v>
      </c>
      <c r="O341" s="4">
        <v>15.186400000000001</v>
      </c>
      <c r="P341" s="5">
        <v>92.5</v>
      </c>
      <c r="Q341" s="2">
        <f>6378137*ACOS(SIN(RADIANS(H341))*SIN(RADIANS(M341))+COS(RADIANS(H341))*COS(RADIANS(M341))*COS(RADIANS(I341)-RADIANS(N341)))</f>
        <v>11.963172723434898</v>
      </c>
      <c r="R341" t="s">
        <v>154</v>
      </c>
    </row>
    <row r="342" spans="1:18" x14ac:dyDescent="0.7">
      <c r="A342">
        <v>2.5</v>
      </c>
      <c r="B342" s="3">
        <v>0.56604166666666667</v>
      </c>
      <c r="C342" s="2">
        <v>37.632951666666671</v>
      </c>
      <c r="D342" s="2">
        <v>141.012765</v>
      </c>
      <c r="E342" s="4">
        <v>15.927200000000001</v>
      </c>
      <c r="F342" s="5">
        <v>91.9</v>
      </c>
      <c r="G342">
        <v>-77</v>
      </c>
      <c r="H342" s="2">
        <v>37.632966666666668</v>
      </c>
      <c r="I342" s="2">
        <v>141.01285333333331</v>
      </c>
      <c r="J342" s="4">
        <v>0</v>
      </c>
      <c r="K342" s="5">
        <v>0</v>
      </c>
      <c r="L342">
        <v>-58</v>
      </c>
      <c r="M342" s="2">
        <v>37.632946666666662</v>
      </c>
      <c r="N342" s="2">
        <v>141.01277333333334</v>
      </c>
      <c r="O342" s="4">
        <v>15.927200000000001</v>
      </c>
      <c r="P342" s="5">
        <v>91.9</v>
      </c>
      <c r="Q342" s="2">
        <f>6378137*ACOS(SIN(RADIANS(H342))*SIN(RADIANS(M342))+COS(RADIANS(H342))*COS(RADIANS(M342))*COS(RADIANS(I342)-RADIANS(N342)))</f>
        <v>7.3961700786524176</v>
      </c>
      <c r="R342" t="s">
        <v>154</v>
      </c>
    </row>
    <row r="343" spans="1:18" x14ac:dyDescent="0.7">
      <c r="A343">
        <v>7.5</v>
      </c>
      <c r="B343" s="3">
        <v>0.56604166666666667</v>
      </c>
      <c r="C343" s="2">
        <v>37.632951666666671</v>
      </c>
      <c r="D343" s="2">
        <v>141.012765</v>
      </c>
      <c r="E343" s="4">
        <v>15.927200000000001</v>
      </c>
      <c r="F343" s="5">
        <v>91.9</v>
      </c>
      <c r="G343">
        <v>-77</v>
      </c>
      <c r="H343" s="2">
        <v>37.632966666666668</v>
      </c>
      <c r="I343" s="2">
        <v>141.01285333333331</v>
      </c>
      <c r="J343" s="4">
        <v>0</v>
      </c>
      <c r="K343" s="5">
        <v>0</v>
      </c>
      <c r="L343">
        <v>-58</v>
      </c>
      <c r="M343" s="2">
        <v>37.632946666666662</v>
      </c>
      <c r="N343" s="2">
        <v>141.01277333333334</v>
      </c>
      <c r="O343" s="4">
        <v>15.927200000000001</v>
      </c>
      <c r="P343" s="5">
        <v>91.9</v>
      </c>
      <c r="Q343" s="2">
        <f>6378137*ACOS(SIN(RADIANS(H343))*SIN(RADIANS(M343))+COS(RADIANS(H343))*COS(RADIANS(M343))*COS(RADIANS(I343)-RADIANS(N343)))</f>
        <v>7.3961700786524176</v>
      </c>
      <c r="R343" t="s">
        <v>154</v>
      </c>
    </row>
    <row r="344" spans="1:18" x14ac:dyDescent="0.7">
      <c r="A344">
        <v>7.5</v>
      </c>
      <c r="B344" s="3">
        <v>0.5660532407407407</v>
      </c>
      <c r="C344" s="2">
        <v>37.632951666666671</v>
      </c>
      <c r="D344" s="2">
        <v>141.01282333333333</v>
      </c>
      <c r="E344" s="4">
        <v>16.667999999999999</v>
      </c>
      <c r="F344" s="5">
        <v>91.8</v>
      </c>
      <c r="G344">
        <v>-76</v>
      </c>
      <c r="H344" s="2">
        <v>37.632966666666668</v>
      </c>
      <c r="I344" s="2">
        <v>141.01285333333331</v>
      </c>
      <c r="J344" s="4">
        <v>0</v>
      </c>
      <c r="K344" s="5">
        <v>0</v>
      </c>
      <c r="L344">
        <v>-85</v>
      </c>
      <c r="M344" s="2">
        <v>37.632946666666662</v>
      </c>
      <c r="N344" s="2">
        <v>141.01295999999999</v>
      </c>
      <c r="O344" s="4">
        <v>20.186800000000002</v>
      </c>
      <c r="P344" s="5">
        <v>91.3</v>
      </c>
      <c r="Q344" s="2">
        <f>6378137*ACOS(SIN(RADIANS(H344))*SIN(RADIANS(M344))+COS(RADIANS(H344))*COS(RADIANS(M344))*COS(RADIANS(I344)-RADIANS(N344)))</f>
        <v>9.6634503616773682</v>
      </c>
      <c r="R344" t="s">
        <v>154</v>
      </c>
    </row>
    <row r="345" spans="1:18" x14ac:dyDescent="0.7">
      <c r="A345">
        <v>32.5</v>
      </c>
      <c r="B345" s="3">
        <v>0.56609953703703708</v>
      </c>
      <c r="C345" s="2">
        <v>37.632948333333339</v>
      </c>
      <c r="D345" s="2">
        <v>141.01309666666666</v>
      </c>
      <c r="E345" s="4">
        <v>22.409200000000002</v>
      </c>
      <c r="F345" s="5">
        <v>91.2</v>
      </c>
      <c r="G345">
        <v>-77</v>
      </c>
      <c r="H345" s="2">
        <v>37.632960000000004</v>
      </c>
      <c r="I345" s="2">
        <v>141.01375999999999</v>
      </c>
      <c r="J345" s="4">
        <v>0</v>
      </c>
      <c r="K345" s="5">
        <v>313</v>
      </c>
      <c r="L345">
        <v>-86</v>
      </c>
      <c r="M345" s="2">
        <v>37.632946666666662</v>
      </c>
      <c r="N345" s="2">
        <v>141.01312000000001</v>
      </c>
      <c r="O345" s="4">
        <v>22.409200000000002</v>
      </c>
      <c r="P345" s="5">
        <v>91.2</v>
      </c>
      <c r="Q345" s="2">
        <f>6378137*ACOS(SIN(RADIANS(H345))*SIN(RADIANS(M345))+COS(RADIANS(H345))*COS(RADIANS(M345))*COS(RADIANS(I345)-RADIANS(N345)))</f>
        <v>56.440816689022711</v>
      </c>
      <c r="R345" t="s">
        <v>154</v>
      </c>
    </row>
    <row r="346" spans="1:18" x14ac:dyDescent="0.7">
      <c r="A346">
        <v>37.5</v>
      </c>
      <c r="B346" s="3">
        <v>0.56609953703703708</v>
      </c>
      <c r="C346" s="2">
        <v>37.632948333333339</v>
      </c>
      <c r="D346" s="2">
        <v>141.01309666666666</v>
      </c>
      <c r="E346" s="4">
        <v>22.409200000000002</v>
      </c>
      <c r="F346" s="5">
        <v>91.2</v>
      </c>
      <c r="G346">
        <v>-77</v>
      </c>
      <c r="H346" s="2">
        <v>37.632960000000004</v>
      </c>
      <c r="I346" s="2">
        <v>141.01375999999999</v>
      </c>
      <c r="J346" s="4">
        <v>0</v>
      </c>
      <c r="K346" s="5">
        <v>313</v>
      </c>
      <c r="L346">
        <v>-86</v>
      </c>
      <c r="M346" s="2">
        <v>37.632946666666662</v>
      </c>
      <c r="N346" s="2">
        <v>141.01312000000001</v>
      </c>
      <c r="O346" s="4">
        <v>22.409200000000002</v>
      </c>
      <c r="P346" s="5">
        <v>91.2</v>
      </c>
      <c r="Q346" s="2">
        <f>6378137*ACOS(SIN(RADIANS(H346))*SIN(RADIANS(M346))+COS(RADIANS(H346))*COS(RADIANS(M346))*COS(RADIANS(I346)-RADIANS(N346)))</f>
        <v>56.440816689022711</v>
      </c>
      <c r="R346" t="s">
        <v>154</v>
      </c>
    </row>
    <row r="347" spans="1:18" x14ac:dyDescent="0.7">
      <c r="A347">
        <v>37.5</v>
      </c>
      <c r="B347" s="3">
        <v>0.56611111111111112</v>
      </c>
      <c r="C347" s="2">
        <v>37.632944999999999</v>
      </c>
      <c r="D347" s="2">
        <v>141.01317333333333</v>
      </c>
      <c r="E347" s="4">
        <v>23.520399999999999</v>
      </c>
      <c r="F347" s="5">
        <v>91.7</v>
      </c>
      <c r="G347">
        <v>-78</v>
      </c>
      <c r="H347" s="2">
        <v>37.632960000000004</v>
      </c>
      <c r="I347" s="2">
        <v>141.01375999999999</v>
      </c>
      <c r="J347" s="4">
        <v>0</v>
      </c>
      <c r="K347" s="5">
        <v>313</v>
      </c>
      <c r="L347">
        <v>-82</v>
      </c>
      <c r="M347" s="2">
        <v>37.632946666666662</v>
      </c>
      <c r="N347" s="2">
        <v>141.01317333333333</v>
      </c>
      <c r="O347" s="4">
        <v>23.520400000000002</v>
      </c>
      <c r="P347" s="5">
        <v>91.7</v>
      </c>
      <c r="Q347" s="2">
        <f>6378137*ACOS(SIN(RADIANS(H347))*SIN(RADIANS(M347))+COS(RADIANS(H347))*COS(RADIANS(M347))*COS(RADIANS(I347)-RADIANS(N347)))</f>
        <v>51.740903373506391</v>
      </c>
      <c r="R347" t="s">
        <v>154</v>
      </c>
    </row>
    <row r="348" spans="1:18" x14ac:dyDescent="0.7">
      <c r="A348">
        <v>42.5</v>
      </c>
      <c r="B348" s="3">
        <v>0.56611111111111112</v>
      </c>
      <c r="C348" s="2">
        <v>37.632944999999999</v>
      </c>
      <c r="D348" s="2">
        <v>141.01317333333333</v>
      </c>
      <c r="E348" s="4">
        <v>23.520399999999999</v>
      </c>
      <c r="F348" s="5">
        <v>91.7</v>
      </c>
      <c r="G348">
        <v>-78</v>
      </c>
      <c r="H348" s="2">
        <v>37.632960000000004</v>
      </c>
      <c r="I348" s="2">
        <v>141.01375999999999</v>
      </c>
      <c r="J348" s="4">
        <v>0</v>
      </c>
      <c r="K348" s="5">
        <v>313</v>
      </c>
      <c r="L348">
        <v>-82</v>
      </c>
      <c r="M348" s="2">
        <v>37.632946666666662</v>
      </c>
      <c r="N348" s="2">
        <v>141.01317333333333</v>
      </c>
      <c r="O348" s="4">
        <v>23.520400000000002</v>
      </c>
      <c r="P348" s="5">
        <v>91.7</v>
      </c>
      <c r="Q348" s="2">
        <f>6378137*ACOS(SIN(RADIANS(H348))*SIN(RADIANS(M348))+COS(RADIANS(H348))*COS(RADIANS(M348))*COS(RADIANS(I348)-RADIANS(N348)))</f>
        <v>51.740903373506391</v>
      </c>
      <c r="R348" t="s">
        <v>154</v>
      </c>
    </row>
    <row r="349" spans="1:18" x14ac:dyDescent="0.7">
      <c r="A349">
        <v>47.5</v>
      </c>
      <c r="B349" s="3">
        <v>0.56612268518518516</v>
      </c>
      <c r="C349" s="2">
        <v>37.632941666666667</v>
      </c>
      <c r="D349" s="2">
        <v>141.01325166666666</v>
      </c>
      <c r="E349" s="4">
        <v>23.705600000000004</v>
      </c>
      <c r="F349" s="5">
        <v>91.8</v>
      </c>
      <c r="G349">
        <v>-78</v>
      </c>
      <c r="H349" s="2">
        <v>37.632960000000004</v>
      </c>
      <c r="I349" s="2">
        <v>141.01375999999999</v>
      </c>
      <c r="J349" s="4">
        <v>0</v>
      </c>
      <c r="K349" s="5">
        <v>313</v>
      </c>
      <c r="L349">
        <v>-85</v>
      </c>
      <c r="M349" s="2">
        <v>37.632939999999998</v>
      </c>
      <c r="N349" s="2">
        <v>141.01325333333335</v>
      </c>
      <c r="O349" s="4">
        <v>23.7056</v>
      </c>
      <c r="P349" s="5">
        <v>91.8</v>
      </c>
      <c r="Q349" s="2">
        <f>6378137*ACOS(SIN(RADIANS(H349))*SIN(RADIANS(M349))+COS(RADIANS(H349))*COS(RADIANS(M349))*COS(RADIANS(I349)-RADIANS(N349)))</f>
        <v>44.72232165369028</v>
      </c>
      <c r="R349" t="s">
        <v>154</v>
      </c>
    </row>
    <row r="350" spans="1:18" x14ac:dyDescent="0.7">
      <c r="A350">
        <v>52.5</v>
      </c>
      <c r="B350" s="3">
        <v>0.5661342592592592</v>
      </c>
      <c r="C350" s="2">
        <v>37.632939999999998</v>
      </c>
      <c r="D350" s="2">
        <v>141.01333166666666</v>
      </c>
      <c r="E350" s="4">
        <v>24.816800000000001</v>
      </c>
      <c r="F350" s="5">
        <v>91.7</v>
      </c>
      <c r="G350">
        <v>-77</v>
      </c>
      <c r="H350" s="2">
        <v>37.632960000000004</v>
      </c>
      <c r="I350" s="2">
        <v>141.01375999999999</v>
      </c>
      <c r="J350" s="4">
        <v>0</v>
      </c>
      <c r="K350" s="5">
        <v>313</v>
      </c>
      <c r="L350">
        <v>-73</v>
      </c>
      <c r="M350" s="2">
        <v>37.632939999999998</v>
      </c>
      <c r="N350" s="2">
        <v>141.01333333333332</v>
      </c>
      <c r="O350" s="4">
        <v>24.816800000000001</v>
      </c>
      <c r="P350" s="5">
        <v>91.7</v>
      </c>
      <c r="Q350" s="2">
        <f>6378137*ACOS(SIN(RADIANS(H350))*SIN(RADIANS(M350))+COS(RADIANS(H350))*COS(RADIANS(M350))*COS(RADIANS(I350)-RADIANS(N350)))</f>
        <v>37.680028006651021</v>
      </c>
      <c r="R350" t="s">
        <v>154</v>
      </c>
    </row>
    <row r="351" spans="1:18" x14ac:dyDescent="0.7">
      <c r="A351">
        <v>57.5</v>
      </c>
      <c r="B351" s="3">
        <v>0.5661342592592592</v>
      </c>
      <c r="C351" s="2">
        <v>37.632939999999998</v>
      </c>
      <c r="D351" s="2">
        <v>141.01333166666666</v>
      </c>
      <c r="E351" s="4">
        <v>24.816800000000001</v>
      </c>
      <c r="F351" s="5">
        <v>91.7</v>
      </c>
      <c r="G351">
        <v>-77</v>
      </c>
      <c r="H351" s="2">
        <v>37.632960000000004</v>
      </c>
      <c r="I351" s="2">
        <v>141.01375999999999</v>
      </c>
      <c r="J351" s="4">
        <v>0</v>
      </c>
      <c r="K351" s="5">
        <v>313</v>
      </c>
      <c r="L351">
        <v>-73</v>
      </c>
      <c r="M351" s="2">
        <v>37.632939999999998</v>
      </c>
      <c r="N351" s="2">
        <v>141.01333333333332</v>
      </c>
      <c r="O351" s="4">
        <v>24.816800000000001</v>
      </c>
      <c r="P351" s="5">
        <v>91.7</v>
      </c>
      <c r="Q351" s="2">
        <f>6378137*ACOS(SIN(RADIANS(H351))*SIN(RADIANS(M351))+COS(RADIANS(H351))*COS(RADIANS(M351))*COS(RADIANS(I351)-RADIANS(N351)))</f>
        <v>37.680028006651021</v>
      </c>
      <c r="R351" t="s">
        <v>154</v>
      </c>
    </row>
    <row r="352" spans="1:18" x14ac:dyDescent="0.7">
      <c r="A352">
        <v>62.5</v>
      </c>
      <c r="B352" s="3">
        <v>0.56614583333333335</v>
      </c>
      <c r="C352" s="2">
        <v>37.632941666666667</v>
      </c>
      <c r="D352" s="2">
        <v>141.01340999999999</v>
      </c>
      <c r="E352" s="4">
        <v>25.372399999999999</v>
      </c>
      <c r="F352" s="5">
        <v>91.4</v>
      </c>
      <c r="G352">
        <v>-75</v>
      </c>
      <c r="H352" s="2">
        <v>37.632960000000004</v>
      </c>
      <c r="I352" s="2">
        <v>141.01375999999999</v>
      </c>
      <c r="J352" s="4">
        <v>0</v>
      </c>
      <c r="K352" s="5">
        <v>313</v>
      </c>
      <c r="L352">
        <v>-59</v>
      </c>
      <c r="M352" s="2">
        <v>37.632939999999998</v>
      </c>
      <c r="N352" s="2">
        <v>141.01338666666666</v>
      </c>
      <c r="O352" s="4">
        <v>25.372400000000003</v>
      </c>
      <c r="P352" s="5">
        <v>91.4</v>
      </c>
      <c r="Q352" s="2">
        <f>6378137*ACOS(SIN(RADIANS(H352))*SIN(RADIANS(M352))+COS(RADIANS(H352))*COS(RADIANS(M352))*COS(RADIANS(I352)-RADIANS(N352)))</f>
        <v>32.987667534137074</v>
      </c>
      <c r="R352" t="s">
        <v>154</v>
      </c>
    </row>
    <row r="353" spans="1:18" x14ac:dyDescent="0.7">
      <c r="A353">
        <v>67.5</v>
      </c>
      <c r="B353" s="3">
        <v>0.56615740740740739</v>
      </c>
      <c r="C353" s="2">
        <v>37.632941666666667</v>
      </c>
      <c r="D353" s="2">
        <v>141.01349166666665</v>
      </c>
      <c r="E353" s="4">
        <v>25.557600000000004</v>
      </c>
      <c r="F353" s="5">
        <v>91.2</v>
      </c>
      <c r="G353">
        <v>-76</v>
      </c>
      <c r="H353" s="2">
        <v>37.632960000000004</v>
      </c>
      <c r="I353" s="2">
        <v>141.01375999999999</v>
      </c>
      <c r="J353" s="4">
        <v>0</v>
      </c>
      <c r="K353" s="5">
        <v>313</v>
      </c>
      <c r="L353">
        <v>-52</v>
      </c>
      <c r="M353" s="2">
        <v>37.632939999999998</v>
      </c>
      <c r="N353" s="2">
        <v>141.01349333333334</v>
      </c>
      <c r="O353" s="4">
        <v>25.557600000000001</v>
      </c>
      <c r="P353" s="5">
        <v>91.2</v>
      </c>
      <c r="Q353" s="2">
        <f>6378137*ACOS(SIN(RADIANS(H353))*SIN(RADIANS(M353))+COS(RADIANS(H353))*COS(RADIANS(M353))*COS(RADIANS(I353)-RADIANS(N353)))</f>
        <v>23.614167938941737</v>
      </c>
      <c r="R353" t="s">
        <v>154</v>
      </c>
    </row>
    <row r="354" spans="1:18" x14ac:dyDescent="0.7">
      <c r="A354">
        <v>72.5</v>
      </c>
      <c r="B354" s="3">
        <v>0.56616898148148154</v>
      </c>
      <c r="C354" s="2">
        <v>37.632939999999998</v>
      </c>
      <c r="D354" s="2">
        <v>141.01357333333331</v>
      </c>
      <c r="E354" s="4">
        <v>25.557600000000004</v>
      </c>
      <c r="F354" s="5">
        <v>90.9</v>
      </c>
      <c r="G354">
        <v>-75</v>
      </c>
      <c r="H354" s="2">
        <v>37.632960000000004</v>
      </c>
      <c r="I354" s="2">
        <v>141.01375999999999</v>
      </c>
      <c r="J354" s="4">
        <v>0</v>
      </c>
      <c r="K354" s="5">
        <v>313</v>
      </c>
      <c r="L354">
        <v>-34</v>
      </c>
      <c r="M354" s="2">
        <v>37.632939999999998</v>
      </c>
      <c r="N354" s="2">
        <v>141.01357333333331</v>
      </c>
      <c r="O354" s="4">
        <v>25.557600000000001</v>
      </c>
      <c r="P354" s="5">
        <v>90.9</v>
      </c>
      <c r="Q354" s="2">
        <f>6378137*ACOS(SIN(RADIANS(H354))*SIN(RADIANS(M354))+COS(RADIANS(H354))*COS(RADIANS(M354))*COS(RADIANS(I354)-RADIANS(N354)))</f>
        <v>16.606199293533489</v>
      </c>
      <c r="R354" t="s">
        <v>154</v>
      </c>
    </row>
    <row r="355" spans="1:18" x14ac:dyDescent="0.7">
      <c r="A355">
        <v>77.5</v>
      </c>
      <c r="B355" s="3">
        <v>0.56684027777777779</v>
      </c>
      <c r="C355" s="2">
        <v>37.632910000000003</v>
      </c>
      <c r="D355" s="2">
        <v>141.01362499999999</v>
      </c>
      <c r="E355" s="4">
        <v>18.149600000000003</v>
      </c>
      <c r="F355" s="5">
        <v>271.10000000000002</v>
      </c>
      <c r="G355">
        <v>-76</v>
      </c>
      <c r="H355" s="2">
        <v>37.632946666666662</v>
      </c>
      <c r="I355" s="2">
        <v>141.01373333333333</v>
      </c>
      <c r="J355" s="4">
        <v>0</v>
      </c>
      <c r="K355" s="5">
        <v>313</v>
      </c>
      <c r="L355">
        <v>-69</v>
      </c>
      <c r="M355" s="2">
        <v>37.632906666666671</v>
      </c>
      <c r="N355" s="2">
        <v>141.01362666666668</v>
      </c>
      <c r="O355" s="4">
        <v>18.1496</v>
      </c>
      <c r="P355" s="5">
        <v>271.10000000000002</v>
      </c>
      <c r="Q355" s="2">
        <f>6378137*ACOS(SIN(RADIANS(H355))*SIN(RADIANS(M355))+COS(RADIANS(H355))*COS(RADIANS(M355))*COS(RADIANS(I355)-RADIANS(N355)))</f>
        <v>10.404347677691314</v>
      </c>
    </row>
    <row r="356" spans="1:18" x14ac:dyDescent="0.7">
      <c r="A356">
        <v>77.5</v>
      </c>
      <c r="B356" s="3">
        <v>0.56685185185185183</v>
      </c>
      <c r="C356" s="2">
        <v>37.632910000000003</v>
      </c>
      <c r="D356" s="2">
        <v>141.01356333333334</v>
      </c>
      <c r="E356" s="4">
        <v>18.8904</v>
      </c>
      <c r="F356" s="5">
        <v>271.3</v>
      </c>
      <c r="G356">
        <v>-76</v>
      </c>
      <c r="H356" s="2">
        <v>37.632946666666662</v>
      </c>
      <c r="I356" s="2">
        <v>141.01373333333333</v>
      </c>
      <c r="J356" s="4">
        <v>0</v>
      </c>
      <c r="K356" s="5">
        <v>313</v>
      </c>
      <c r="L356">
        <v>-67</v>
      </c>
      <c r="M356" s="2">
        <v>37.632906666666671</v>
      </c>
      <c r="N356" s="2">
        <v>141.01354666666666</v>
      </c>
      <c r="O356" s="4">
        <v>18.8904</v>
      </c>
      <c r="P356" s="5">
        <v>271.3</v>
      </c>
      <c r="Q356" s="2">
        <f>6378137*ACOS(SIN(RADIANS(H356))*SIN(RADIANS(M356))+COS(RADIANS(H356))*COS(RADIANS(M356))*COS(RADIANS(I356)-RADIANS(N356)))</f>
        <v>17.0482569674767</v>
      </c>
    </row>
    <row r="357" spans="1:18" x14ac:dyDescent="0.7">
      <c r="A357">
        <v>57.5</v>
      </c>
      <c r="B357" s="3">
        <v>0.56806712962962969</v>
      </c>
      <c r="C357" s="2">
        <v>37.63292666666667</v>
      </c>
      <c r="D357" s="2">
        <v>141.01339000000002</v>
      </c>
      <c r="E357" s="4">
        <v>5.1856</v>
      </c>
      <c r="F357" s="5">
        <v>335.4</v>
      </c>
      <c r="G357">
        <v>-82</v>
      </c>
      <c r="H357" s="2">
        <v>37.632939999999998</v>
      </c>
      <c r="I357" s="2">
        <v>141.01341333333332</v>
      </c>
      <c r="J357" s="4">
        <v>4.8151999999999999</v>
      </c>
      <c r="K357" s="5">
        <v>330</v>
      </c>
      <c r="L357">
        <v>-39</v>
      </c>
      <c r="M357" s="2">
        <v>37.632933333333334</v>
      </c>
      <c r="N357" s="2">
        <v>141.01338666666666</v>
      </c>
      <c r="O357" s="4">
        <v>5.1856</v>
      </c>
      <c r="P357" s="5">
        <v>335.4</v>
      </c>
      <c r="Q357" s="2">
        <f>6378137*ACOS(SIN(RADIANS(H357))*SIN(RADIANS(M357))+COS(RADIANS(H357))*COS(RADIANS(M357))*COS(RADIANS(I357)-RADIANS(N357)))</f>
        <v>2.467424680791098</v>
      </c>
    </row>
    <row r="358" spans="1:18" x14ac:dyDescent="0.7">
      <c r="A358">
        <v>62.5</v>
      </c>
      <c r="B358" s="3">
        <v>0.56806712962962969</v>
      </c>
      <c r="C358" s="2">
        <v>37.63292666666667</v>
      </c>
      <c r="D358" s="2">
        <v>141.01339000000002</v>
      </c>
      <c r="E358" s="4">
        <v>5.1856</v>
      </c>
      <c r="F358" s="5">
        <v>335.4</v>
      </c>
      <c r="G358">
        <v>-82</v>
      </c>
      <c r="H358" s="2">
        <v>37.632939999999998</v>
      </c>
      <c r="I358" s="2">
        <v>141.01341333333332</v>
      </c>
      <c r="J358" s="4">
        <v>4.8151999999999999</v>
      </c>
      <c r="K358" s="5">
        <v>330</v>
      </c>
      <c r="L358">
        <v>-39</v>
      </c>
      <c r="M358" s="2">
        <v>37.632933333333334</v>
      </c>
      <c r="N358" s="2">
        <v>141.01338666666666</v>
      </c>
      <c r="O358" s="4">
        <v>5.1856</v>
      </c>
      <c r="P358" s="5">
        <v>335.4</v>
      </c>
      <c r="Q358" s="2">
        <f>6378137*ACOS(SIN(RADIANS(H358))*SIN(RADIANS(M358))+COS(RADIANS(H358))*COS(RADIANS(M358))*COS(RADIANS(I358)-RADIANS(N358)))</f>
        <v>2.467424680791098</v>
      </c>
    </row>
    <row r="359" spans="1:18" x14ac:dyDescent="0.7">
      <c r="A359">
        <v>57.5</v>
      </c>
      <c r="B359" s="3">
        <v>0.56807870370370372</v>
      </c>
      <c r="C359" s="2">
        <v>37.632941666666667</v>
      </c>
      <c r="D359" s="2">
        <v>141.01339000000002</v>
      </c>
      <c r="E359" s="4">
        <v>5.1856</v>
      </c>
      <c r="F359" s="5">
        <v>340.8</v>
      </c>
      <c r="G359">
        <v>-86</v>
      </c>
      <c r="H359" s="2">
        <v>37.632946666666662</v>
      </c>
      <c r="I359" s="2">
        <v>141.01341333333332</v>
      </c>
      <c r="J359" s="4">
        <v>4.8151999999999999</v>
      </c>
      <c r="K359" s="5">
        <v>334.5</v>
      </c>
      <c r="L359">
        <v>-42</v>
      </c>
      <c r="M359" s="2">
        <v>37.632939999999998</v>
      </c>
      <c r="N359" s="2">
        <v>141.01338666666666</v>
      </c>
      <c r="O359" s="4">
        <v>5.1856</v>
      </c>
      <c r="P359" s="5">
        <v>340.8</v>
      </c>
      <c r="Q359" s="2">
        <f>6378137*ACOS(SIN(RADIANS(H359))*SIN(RADIANS(M359))+COS(RADIANS(H359))*COS(RADIANS(M359))*COS(RADIANS(I359)-RADIANS(N359)))</f>
        <v>2.467424680791098</v>
      </c>
    </row>
    <row r="360" spans="1:18" x14ac:dyDescent="0.7">
      <c r="A360">
        <v>62.5</v>
      </c>
      <c r="B360" s="3">
        <v>0.56807870370370372</v>
      </c>
      <c r="C360" s="2">
        <v>37.632941666666667</v>
      </c>
      <c r="D360" s="2">
        <v>141.01339000000002</v>
      </c>
      <c r="E360" s="4">
        <v>5.1856</v>
      </c>
      <c r="F360" s="5">
        <v>340.8</v>
      </c>
      <c r="G360">
        <v>-86</v>
      </c>
      <c r="H360" s="2">
        <v>37.632946666666662</v>
      </c>
      <c r="I360" s="2">
        <v>141.01341333333332</v>
      </c>
      <c r="J360" s="4">
        <v>4.8151999999999999</v>
      </c>
      <c r="K360" s="5">
        <v>334.5</v>
      </c>
      <c r="L360">
        <v>-42</v>
      </c>
      <c r="M360" s="2">
        <v>37.632939999999998</v>
      </c>
      <c r="N360" s="2">
        <v>141.01338666666666</v>
      </c>
      <c r="O360" s="4">
        <v>5.1856</v>
      </c>
      <c r="P360" s="5">
        <v>340.8</v>
      </c>
      <c r="Q360" s="2">
        <f>6378137*ACOS(SIN(RADIANS(H360))*SIN(RADIANS(M360))+COS(RADIANS(H360))*COS(RADIANS(M360))*COS(RADIANS(I360)-RADIANS(N360)))</f>
        <v>2.467424680791098</v>
      </c>
    </row>
    <row r="361" spans="1:18" x14ac:dyDescent="0.7">
      <c r="A361">
        <v>57.5</v>
      </c>
      <c r="B361" s="3">
        <v>0.5681018518518518</v>
      </c>
      <c r="C361" s="2">
        <v>37.632975000000002</v>
      </c>
      <c r="D361" s="2">
        <v>141.01339000000002</v>
      </c>
      <c r="E361" s="4">
        <v>5.1856</v>
      </c>
      <c r="F361" s="5">
        <v>351.5</v>
      </c>
      <c r="G361">
        <v>-72</v>
      </c>
      <c r="H361" s="2">
        <v>37.632986666666667</v>
      </c>
      <c r="I361" s="2">
        <v>141.01341333333332</v>
      </c>
      <c r="J361" s="4">
        <v>4.8151999999999999</v>
      </c>
      <c r="K361" s="5">
        <v>346.4</v>
      </c>
      <c r="L361">
        <v>-42</v>
      </c>
      <c r="M361" s="2">
        <v>37.632973333333332</v>
      </c>
      <c r="N361" s="2">
        <v>141.01338666666666</v>
      </c>
      <c r="O361" s="4">
        <v>5.1856</v>
      </c>
      <c r="P361" s="5">
        <v>351.5</v>
      </c>
      <c r="Q361" s="2">
        <f>6378137*ACOS(SIN(RADIANS(H361))*SIN(RADIANS(M361))+COS(RADIANS(H361))*COS(RADIANS(M361))*COS(RADIANS(I361)-RADIANS(N361)))</f>
        <v>2.7806788811011907</v>
      </c>
    </row>
  </sheetData>
  <sortState xmlns:xlrd2="http://schemas.microsoft.com/office/spreadsheetml/2017/richdata2" ref="A2:Q361">
    <sortCondition ref="B2:B59"/>
    <sortCondition ref="B2:B151"/>
    <sortCondition ref="B2:B338"/>
    <sortCondition ref="B2:B361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手順2">
              <controlPr defaultSize="0" print="0" autoFill="0" autoPict="0" macro="[0]!auto_analysis_step2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uto_analysis_step2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uto_analysis_step2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 macro="[0]!auto_analysis_step2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31D3D-17C4-4F29-9C52-F9C996A246DA}">
  <sheetPr codeName="Sheet168"/>
  <dimension ref="A1:R27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0.45552083333333332</v>
      </c>
      <c r="C2" s="2">
        <v>37.632953333333333</v>
      </c>
      <c r="D2" s="2">
        <v>141.01270833333334</v>
      </c>
      <c r="E2" s="4">
        <v>8.3339999999999996</v>
      </c>
      <c r="F2" s="5">
        <v>91</v>
      </c>
      <c r="G2">
        <v>-66</v>
      </c>
      <c r="H2" s="2">
        <v>37.632960000000004</v>
      </c>
      <c r="I2" s="2">
        <v>141.01333333333332</v>
      </c>
      <c r="J2" s="4">
        <v>0</v>
      </c>
      <c r="K2" s="5">
        <v>302</v>
      </c>
      <c r="L2">
        <v>-64</v>
      </c>
      <c r="M2" s="2">
        <v>37.632946666666662</v>
      </c>
      <c r="N2" s="2">
        <v>141.01269333333332</v>
      </c>
      <c r="O2" s="4">
        <v>8.3339999999999996</v>
      </c>
      <c r="P2" s="5">
        <v>91</v>
      </c>
      <c r="Q2" s="2">
        <v>56.440816689022711</v>
      </c>
      <c r="R2" t="s">
        <v>129</v>
      </c>
    </row>
    <row r="3" spans="1:18" x14ac:dyDescent="0.7">
      <c r="A3">
        <v>2.5</v>
      </c>
      <c r="B3" s="3">
        <v>0.45553240740740741</v>
      </c>
      <c r="C3" s="2">
        <v>37.632953333333333</v>
      </c>
      <c r="D3" s="2">
        <v>141.01273499999999</v>
      </c>
      <c r="E3" s="4">
        <v>8.5191999999999997</v>
      </c>
      <c r="F3" s="5">
        <v>90.7</v>
      </c>
      <c r="G3">
        <v>-67</v>
      </c>
      <c r="H3" s="2">
        <v>37.632966666666668</v>
      </c>
      <c r="I3" s="2">
        <v>141.01333333333332</v>
      </c>
      <c r="J3" s="4">
        <v>0</v>
      </c>
      <c r="K3" s="5">
        <v>302</v>
      </c>
      <c r="L3">
        <v>-64</v>
      </c>
      <c r="M3" s="2">
        <v>37.632946666666662</v>
      </c>
      <c r="N3" s="2">
        <v>141.01274666666669</v>
      </c>
      <c r="O3" s="4">
        <v>8.5191999999999997</v>
      </c>
      <c r="P3" s="5">
        <v>90.7</v>
      </c>
      <c r="Q3" s="2">
        <v>51.767432696685759</v>
      </c>
      <c r="R3" t="s">
        <v>129</v>
      </c>
    </row>
    <row r="4" spans="1:18" x14ac:dyDescent="0.7">
      <c r="A4">
        <v>2.5</v>
      </c>
      <c r="B4" s="3">
        <v>0.45554398148148145</v>
      </c>
      <c r="C4" s="2">
        <v>37.632953333333333</v>
      </c>
      <c r="D4" s="2">
        <v>141.01276999999999</v>
      </c>
      <c r="E4" s="4">
        <v>9.26</v>
      </c>
      <c r="F4" s="5">
        <v>90.7</v>
      </c>
      <c r="G4">
        <v>-64</v>
      </c>
      <c r="H4" s="2">
        <v>37.632966666666668</v>
      </c>
      <c r="I4" s="2">
        <v>141.01333333333332</v>
      </c>
      <c r="J4" s="4">
        <v>0</v>
      </c>
      <c r="K4" s="5">
        <v>302</v>
      </c>
      <c r="L4">
        <v>-63</v>
      </c>
      <c r="M4" s="2">
        <v>37.632946666666662</v>
      </c>
      <c r="N4" s="2">
        <v>141.01277333333334</v>
      </c>
      <c r="O4" s="4">
        <v>9.26</v>
      </c>
      <c r="P4" s="5">
        <v>90.7</v>
      </c>
      <c r="Q4" s="2">
        <v>49.418732283188795</v>
      </c>
      <c r="R4" t="s">
        <v>129</v>
      </c>
    </row>
    <row r="5" spans="1:18" x14ac:dyDescent="0.7">
      <c r="A5">
        <v>7.5</v>
      </c>
      <c r="B5" s="3">
        <v>0.45554398148148145</v>
      </c>
      <c r="C5" s="2">
        <v>37.632953333333333</v>
      </c>
      <c r="D5" s="2">
        <v>141.01276999999999</v>
      </c>
      <c r="E5" s="4">
        <v>9.26</v>
      </c>
      <c r="F5" s="5">
        <v>90.7</v>
      </c>
      <c r="G5">
        <v>-64</v>
      </c>
      <c r="H5" s="2">
        <v>37.632966666666668</v>
      </c>
      <c r="I5" s="2">
        <v>141.01333333333332</v>
      </c>
      <c r="J5" s="4">
        <v>0</v>
      </c>
      <c r="K5" s="5">
        <v>302</v>
      </c>
      <c r="L5">
        <v>-63</v>
      </c>
      <c r="M5" s="2">
        <v>37.632946666666662</v>
      </c>
      <c r="N5" s="2">
        <v>141.01277333333334</v>
      </c>
      <c r="O5" s="4">
        <v>9.26</v>
      </c>
      <c r="P5" s="5">
        <v>90.7</v>
      </c>
      <c r="Q5" s="2">
        <v>49.418732283188795</v>
      </c>
      <c r="R5" t="s">
        <v>129</v>
      </c>
    </row>
    <row r="6" spans="1:18" x14ac:dyDescent="0.7">
      <c r="A6">
        <v>7.5</v>
      </c>
      <c r="B6" s="3">
        <v>0.45555555555555555</v>
      </c>
      <c r="C6" s="2">
        <v>37.632955000000003</v>
      </c>
      <c r="D6" s="2">
        <v>141.01280166666666</v>
      </c>
      <c r="E6" s="4">
        <v>9.6304000000000016</v>
      </c>
      <c r="F6" s="5">
        <v>90.3</v>
      </c>
      <c r="G6">
        <v>-64</v>
      </c>
      <c r="H6" s="2">
        <v>37.632966666666668</v>
      </c>
      <c r="I6" s="2">
        <v>141.01333333333332</v>
      </c>
      <c r="J6" s="4">
        <v>0</v>
      </c>
      <c r="K6" s="5">
        <v>302</v>
      </c>
      <c r="L6">
        <v>-62</v>
      </c>
      <c r="M6" s="2">
        <v>37.632953333333333</v>
      </c>
      <c r="N6" s="2">
        <v>141.0128</v>
      </c>
      <c r="O6" s="4">
        <v>9.6303999999999998</v>
      </c>
      <c r="P6" s="5">
        <v>90.3</v>
      </c>
      <c r="Q6" s="2">
        <v>47.041103244580661</v>
      </c>
      <c r="R6" t="s">
        <v>129</v>
      </c>
    </row>
    <row r="7" spans="1:18" x14ac:dyDescent="0.7">
      <c r="A7">
        <v>7.5</v>
      </c>
      <c r="B7" s="3">
        <v>0.45556712962962959</v>
      </c>
      <c r="C7" s="2">
        <v>37.632956666666672</v>
      </c>
      <c r="D7" s="2">
        <v>141.012835</v>
      </c>
      <c r="E7" s="4">
        <v>8.3339999999999996</v>
      </c>
      <c r="F7" s="5">
        <v>90</v>
      </c>
      <c r="G7">
        <v>-62</v>
      </c>
      <c r="H7" s="2">
        <v>37.632973333333332</v>
      </c>
      <c r="I7" s="2">
        <v>141.01333333333332</v>
      </c>
      <c r="J7" s="4">
        <v>0</v>
      </c>
      <c r="K7" s="5">
        <v>302</v>
      </c>
      <c r="L7">
        <v>-61</v>
      </c>
      <c r="M7" s="2">
        <v>37.632953333333333</v>
      </c>
      <c r="N7" s="2">
        <v>141.01282666666665</v>
      </c>
      <c r="O7" s="4">
        <v>8.3339999999999996</v>
      </c>
      <c r="P7" s="5">
        <v>90</v>
      </c>
      <c r="Q7" s="2">
        <v>44.72232165369028</v>
      </c>
      <c r="R7" t="s">
        <v>129</v>
      </c>
    </row>
    <row r="8" spans="1:18" x14ac:dyDescent="0.7">
      <c r="A8">
        <v>12.5</v>
      </c>
      <c r="B8" s="3">
        <v>0.45556712962962959</v>
      </c>
      <c r="C8" s="2">
        <v>37.632956666666672</v>
      </c>
      <c r="D8" s="2">
        <v>141.012835</v>
      </c>
      <c r="E8" s="4">
        <v>8.3339999999999996</v>
      </c>
      <c r="F8" s="5">
        <v>90</v>
      </c>
      <c r="G8">
        <v>-62</v>
      </c>
      <c r="H8" s="2">
        <v>37.632973333333332</v>
      </c>
      <c r="I8" s="2">
        <v>141.01333333333332</v>
      </c>
      <c r="J8" s="4">
        <v>0</v>
      </c>
      <c r="K8" s="5">
        <v>302</v>
      </c>
      <c r="L8">
        <v>-61</v>
      </c>
      <c r="M8" s="2">
        <v>37.632953333333333</v>
      </c>
      <c r="N8" s="2">
        <v>141.01282666666665</v>
      </c>
      <c r="O8" s="4">
        <v>8.3339999999999996</v>
      </c>
      <c r="P8" s="5">
        <v>90</v>
      </c>
      <c r="Q8" s="2">
        <v>44.72232165369028</v>
      </c>
      <c r="R8" t="s">
        <v>129</v>
      </c>
    </row>
    <row r="9" spans="1:18" x14ac:dyDescent="0.7">
      <c r="A9">
        <v>12.5</v>
      </c>
      <c r="B9" s="3">
        <v>0.45557870370370374</v>
      </c>
      <c r="C9" s="2">
        <v>37.632956666666672</v>
      </c>
      <c r="D9" s="2">
        <v>141.01286166666665</v>
      </c>
      <c r="E9" s="4">
        <v>8.5191999999999997</v>
      </c>
      <c r="F9" s="5">
        <v>89.5</v>
      </c>
      <c r="G9">
        <v>-61</v>
      </c>
      <c r="H9" s="2">
        <v>37.632966666666668</v>
      </c>
      <c r="I9" s="2">
        <v>141.01333333333332</v>
      </c>
      <c r="J9" s="4">
        <v>0</v>
      </c>
      <c r="K9" s="5">
        <v>302</v>
      </c>
      <c r="L9">
        <v>-59</v>
      </c>
      <c r="M9" s="2">
        <v>37.632953333333333</v>
      </c>
      <c r="N9" s="2">
        <v>141.01285333333331</v>
      </c>
      <c r="O9" s="4">
        <v>8.5191999999999997</v>
      </c>
      <c r="P9" s="5">
        <v>89.5</v>
      </c>
      <c r="Q9" s="2">
        <v>42.34188065745262</v>
      </c>
      <c r="R9" t="s">
        <v>129</v>
      </c>
    </row>
    <row r="10" spans="1:18" x14ac:dyDescent="0.7">
      <c r="A10">
        <v>17.5</v>
      </c>
      <c r="B10" s="3">
        <v>0.45559027777777777</v>
      </c>
      <c r="C10" s="2">
        <v>37.632956666666672</v>
      </c>
      <c r="D10" s="2">
        <v>141.01290666666668</v>
      </c>
      <c r="E10" s="4">
        <v>9.26</v>
      </c>
      <c r="F10" s="5">
        <v>90.1</v>
      </c>
      <c r="G10">
        <v>-59</v>
      </c>
      <c r="H10" s="2">
        <v>37.632973333333332</v>
      </c>
      <c r="I10" s="2">
        <v>141.01333333333332</v>
      </c>
      <c r="J10" s="4">
        <v>0</v>
      </c>
      <c r="K10" s="5">
        <v>302</v>
      </c>
      <c r="L10">
        <v>-59</v>
      </c>
      <c r="M10" s="2">
        <v>37.632953333333333</v>
      </c>
      <c r="N10" s="2">
        <v>141.01290666666668</v>
      </c>
      <c r="O10" s="4">
        <v>9.26</v>
      </c>
      <c r="P10" s="5">
        <v>90.1</v>
      </c>
      <c r="Q10" s="2">
        <v>37.679908142531694</v>
      </c>
      <c r="R10" t="s">
        <v>129</v>
      </c>
    </row>
    <row r="11" spans="1:18" x14ac:dyDescent="0.7">
      <c r="A11">
        <v>22.5</v>
      </c>
      <c r="B11" s="3">
        <v>0.45560185185185187</v>
      </c>
      <c r="C11" s="2">
        <v>37.632955000000003</v>
      </c>
      <c r="D11" s="2">
        <v>141.012945</v>
      </c>
      <c r="E11" s="4">
        <v>9.6304000000000016</v>
      </c>
      <c r="F11" s="5">
        <v>91</v>
      </c>
      <c r="G11">
        <v>-59</v>
      </c>
      <c r="H11" s="2">
        <v>37.632966666666668</v>
      </c>
      <c r="I11" s="2">
        <v>141.01333333333332</v>
      </c>
      <c r="J11" s="4">
        <v>0</v>
      </c>
      <c r="K11" s="5">
        <v>302</v>
      </c>
      <c r="L11">
        <v>-59</v>
      </c>
      <c r="M11" s="2">
        <v>37.632953333333333</v>
      </c>
      <c r="N11" s="2">
        <v>141.01293333333334</v>
      </c>
      <c r="O11" s="4">
        <v>9.6303999999999998</v>
      </c>
      <c r="P11" s="5">
        <v>91</v>
      </c>
      <c r="Q11" s="2">
        <v>35.294378365214293</v>
      </c>
      <c r="R11" t="s">
        <v>129</v>
      </c>
    </row>
    <row r="12" spans="1:18" x14ac:dyDescent="0.7">
      <c r="A12">
        <v>27.5</v>
      </c>
      <c r="B12" s="3">
        <v>0.45561342592592591</v>
      </c>
      <c r="C12" s="2">
        <v>37.632953333333333</v>
      </c>
      <c r="D12" s="2">
        <v>141.01298666666668</v>
      </c>
      <c r="E12" s="4">
        <v>9.8155999999999999</v>
      </c>
      <c r="F12" s="5">
        <v>92</v>
      </c>
      <c r="G12">
        <v>-59</v>
      </c>
      <c r="H12" s="2">
        <v>37.632966666666668</v>
      </c>
      <c r="I12" s="2">
        <v>141.01333333333332</v>
      </c>
      <c r="J12" s="4">
        <v>0</v>
      </c>
      <c r="K12" s="5">
        <v>302</v>
      </c>
      <c r="L12">
        <v>-59</v>
      </c>
      <c r="M12" s="2">
        <v>37.632946666666662</v>
      </c>
      <c r="N12" s="2">
        <v>141.01298666666668</v>
      </c>
      <c r="O12" s="4">
        <v>9.8155999999999999</v>
      </c>
      <c r="P12" s="5">
        <v>92</v>
      </c>
      <c r="Q12" s="2">
        <v>30.642346914636899</v>
      </c>
      <c r="R12" t="s">
        <v>129</v>
      </c>
    </row>
    <row r="13" spans="1:18" x14ac:dyDescent="0.7">
      <c r="A13">
        <v>27.5</v>
      </c>
      <c r="B13" s="3">
        <v>0.455625</v>
      </c>
      <c r="C13" s="2">
        <v>37.632953333333333</v>
      </c>
      <c r="D13" s="2">
        <v>141.01302833333332</v>
      </c>
      <c r="E13" s="4">
        <v>10.5564</v>
      </c>
      <c r="F13" s="5">
        <v>92.4</v>
      </c>
      <c r="G13">
        <v>-58</v>
      </c>
      <c r="H13" s="2">
        <v>37.632960000000004</v>
      </c>
      <c r="I13" s="2">
        <v>141.01333333333332</v>
      </c>
      <c r="J13" s="4">
        <v>0</v>
      </c>
      <c r="K13" s="5">
        <v>302</v>
      </c>
      <c r="L13">
        <v>-59</v>
      </c>
      <c r="M13" s="2">
        <v>37.632946666666662</v>
      </c>
      <c r="N13" s="2">
        <v>141.01301333333333</v>
      </c>
      <c r="O13" s="4">
        <v>10.5564</v>
      </c>
      <c r="P13" s="5">
        <v>92.4</v>
      </c>
      <c r="Q13" s="2">
        <v>28.249600953647974</v>
      </c>
      <c r="R13" t="s">
        <v>129</v>
      </c>
    </row>
    <row r="14" spans="1:18" x14ac:dyDescent="0.7">
      <c r="A14">
        <v>32.5</v>
      </c>
      <c r="B14" s="3">
        <v>0.45563657407407404</v>
      </c>
      <c r="C14" s="2">
        <v>37.632951666666671</v>
      </c>
      <c r="D14" s="2">
        <v>141.01306666666667</v>
      </c>
      <c r="E14" s="4">
        <v>10.7416</v>
      </c>
      <c r="F14" s="5">
        <v>91.6</v>
      </c>
      <c r="G14">
        <v>-53</v>
      </c>
      <c r="H14" s="2">
        <v>37.632960000000004</v>
      </c>
      <c r="I14" s="2">
        <v>141.01333333333332</v>
      </c>
      <c r="J14" s="4">
        <v>0</v>
      </c>
      <c r="K14" s="5">
        <v>302</v>
      </c>
      <c r="L14">
        <v>-61</v>
      </c>
      <c r="M14" s="2">
        <v>37.632946666666662</v>
      </c>
      <c r="N14" s="2">
        <v>141.01306666666667</v>
      </c>
      <c r="O14" s="4">
        <v>10.7416</v>
      </c>
      <c r="P14" s="5">
        <v>91.6</v>
      </c>
      <c r="Q14" s="2">
        <v>23.555761257689049</v>
      </c>
      <c r="R14" t="s">
        <v>129</v>
      </c>
    </row>
    <row r="15" spans="1:18" x14ac:dyDescent="0.7">
      <c r="A15">
        <v>42.5</v>
      </c>
      <c r="B15" s="3">
        <v>0.45568287037037036</v>
      </c>
      <c r="C15" s="2">
        <v>37.632944999999999</v>
      </c>
      <c r="D15" s="2">
        <v>141.01322166666665</v>
      </c>
      <c r="E15" s="4">
        <v>11.6676</v>
      </c>
      <c r="F15" s="5">
        <v>91.2</v>
      </c>
      <c r="G15">
        <v>-52</v>
      </c>
      <c r="H15" s="2">
        <v>37.632960000000004</v>
      </c>
      <c r="I15" s="2">
        <v>141.01333333333332</v>
      </c>
      <c r="J15" s="4">
        <v>0</v>
      </c>
      <c r="K15" s="5">
        <v>302</v>
      </c>
      <c r="L15">
        <v>-44</v>
      </c>
      <c r="M15" s="2">
        <v>37.632946666666662</v>
      </c>
      <c r="N15" s="2">
        <v>141.01322666666667</v>
      </c>
      <c r="O15" s="4">
        <v>11.6676</v>
      </c>
      <c r="P15" s="5">
        <v>91.2</v>
      </c>
      <c r="Q15" s="2">
        <v>9.5203081250669808</v>
      </c>
      <c r="R15" t="s">
        <v>129</v>
      </c>
    </row>
    <row r="16" spans="1:18" x14ac:dyDescent="0.7">
      <c r="A16">
        <v>47.5</v>
      </c>
      <c r="B16" s="3">
        <v>0.45569444444444446</v>
      </c>
      <c r="C16" s="2">
        <v>37.632946666666662</v>
      </c>
      <c r="D16" s="2">
        <v>141.01325833333334</v>
      </c>
      <c r="E16" s="4">
        <v>11.6676</v>
      </c>
      <c r="F16" s="5">
        <v>90.9</v>
      </c>
      <c r="G16">
        <v>-44</v>
      </c>
      <c r="H16" s="2">
        <v>37.632960000000004</v>
      </c>
      <c r="I16" s="2">
        <v>141.01333333333332</v>
      </c>
      <c r="J16" s="4">
        <v>0</v>
      </c>
      <c r="K16" s="5">
        <v>302</v>
      </c>
      <c r="L16">
        <v>-37</v>
      </c>
      <c r="M16" s="2">
        <v>37.632946666666662</v>
      </c>
      <c r="N16" s="2">
        <v>141.01325333333335</v>
      </c>
      <c r="O16" s="4">
        <v>11.6676</v>
      </c>
      <c r="P16" s="5">
        <v>90.9</v>
      </c>
      <c r="Q16" s="2">
        <v>7.2081430162853817</v>
      </c>
      <c r="R16" t="s">
        <v>129</v>
      </c>
    </row>
    <row r="17" spans="1:18" x14ac:dyDescent="0.7">
      <c r="A17">
        <v>52.5</v>
      </c>
      <c r="B17" s="3">
        <v>0.4557060185185185</v>
      </c>
      <c r="C17" s="2">
        <v>37.632946666666662</v>
      </c>
      <c r="D17" s="2">
        <v>141.01329333333334</v>
      </c>
      <c r="E17" s="4">
        <v>11.6676</v>
      </c>
      <c r="F17" s="5">
        <v>90.8</v>
      </c>
      <c r="G17">
        <v>-36</v>
      </c>
      <c r="H17" s="2">
        <v>37.632960000000004</v>
      </c>
      <c r="I17" s="2">
        <v>141.01333333333332</v>
      </c>
      <c r="J17" s="4">
        <v>0</v>
      </c>
      <c r="K17" s="5">
        <v>302</v>
      </c>
      <c r="L17">
        <v>-46</v>
      </c>
      <c r="M17" s="2">
        <v>37.632946666666662</v>
      </c>
      <c r="N17" s="2">
        <v>141.01328000000001</v>
      </c>
      <c r="O17" s="4">
        <v>11.6676</v>
      </c>
      <c r="P17" s="5">
        <v>90.8</v>
      </c>
      <c r="Q17" s="2">
        <v>4.9311871343198854</v>
      </c>
      <c r="R17" t="s">
        <v>129</v>
      </c>
    </row>
    <row r="18" spans="1:18" x14ac:dyDescent="0.7">
      <c r="A18">
        <v>52.5</v>
      </c>
      <c r="B18" s="3">
        <v>0.45571759259259265</v>
      </c>
      <c r="C18" s="2">
        <v>37.632944999999999</v>
      </c>
      <c r="D18" s="2">
        <v>141.01333000000002</v>
      </c>
      <c r="E18" s="4">
        <v>11.6676</v>
      </c>
      <c r="F18" s="5">
        <v>90.8</v>
      </c>
      <c r="G18">
        <v>-50</v>
      </c>
      <c r="H18" s="2">
        <v>37.632960000000004</v>
      </c>
      <c r="I18" s="2">
        <v>141.01333333333332</v>
      </c>
      <c r="J18" s="4">
        <v>0</v>
      </c>
      <c r="K18" s="5">
        <v>302</v>
      </c>
      <c r="L18">
        <v>-67</v>
      </c>
      <c r="M18" s="2">
        <v>37.632946666666662</v>
      </c>
      <c r="N18" s="2">
        <v>141.01333333333332</v>
      </c>
      <c r="O18" s="4">
        <v>11.6676</v>
      </c>
      <c r="P18" s="5">
        <v>90.8</v>
      </c>
      <c r="Q18" s="2">
        <v>1.4845979931357927</v>
      </c>
      <c r="R18" t="s">
        <v>129</v>
      </c>
    </row>
    <row r="19" spans="1:18" x14ac:dyDescent="0.7">
      <c r="A19">
        <v>57.5</v>
      </c>
      <c r="B19" s="3">
        <v>0.45571759259259265</v>
      </c>
      <c r="C19" s="2">
        <v>37.632944999999999</v>
      </c>
      <c r="D19" s="2">
        <v>141.01333000000002</v>
      </c>
      <c r="E19" s="4">
        <v>11.6676</v>
      </c>
      <c r="F19" s="5">
        <v>90.8</v>
      </c>
      <c r="G19">
        <v>-50</v>
      </c>
      <c r="H19" s="2">
        <v>37.632960000000004</v>
      </c>
      <c r="I19" s="2">
        <v>141.01333333333332</v>
      </c>
      <c r="J19" s="4">
        <v>0</v>
      </c>
      <c r="K19" s="5">
        <v>302</v>
      </c>
      <c r="L19">
        <v>-67</v>
      </c>
      <c r="M19" s="2">
        <v>37.632946666666662</v>
      </c>
      <c r="N19" s="2">
        <v>141.01333333333332</v>
      </c>
      <c r="O19" s="4">
        <v>11.6676</v>
      </c>
      <c r="P19" s="5">
        <v>90.8</v>
      </c>
      <c r="Q19" s="2">
        <v>1.4845979931357927</v>
      </c>
      <c r="R19" t="s">
        <v>129</v>
      </c>
    </row>
    <row r="20" spans="1:18" x14ac:dyDescent="0.7">
      <c r="A20">
        <v>57.5</v>
      </c>
      <c r="B20" s="3">
        <v>0.45572916666666669</v>
      </c>
      <c r="C20" s="2">
        <v>37.632944999999999</v>
      </c>
      <c r="D20" s="2">
        <v>141.01336666666666</v>
      </c>
      <c r="E20" s="4">
        <v>11.4824</v>
      </c>
      <c r="F20" s="5">
        <v>91.1</v>
      </c>
      <c r="G20">
        <v>-62</v>
      </c>
      <c r="H20" s="2">
        <v>37.632960000000004</v>
      </c>
      <c r="I20" s="2">
        <v>141.01333333333332</v>
      </c>
      <c r="J20" s="4">
        <v>0</v>
      </c>
      <c r="K20" s="5">
        <v>302</v>
      </c>
      <c r="L20">
        <v>-67</v>
      </c>
      <c r="M20" s="2">
        <v>37.632946666666662</v>
      </c>
      <c r="N20" s="2">
        <v>141.01336000000001</v>
      </c>
      <c r="O20" s="4">
        <v>11.4824</v>
      </c>
      <c r="P20" s="5">
        <v>91.1</v>
      </c>
      <c r="Q20" s="2">
        <v>2.7806788811011907</v>
      </c>
      <c r="R20" t="s">
        <v>129</v>
      </c>
    </row>
    <row r="21" spans="1:18" x14ac:dyDescent="0.7">
      <c r="A21">
        <v>62.5</v>
      </c>
      <c r="B21" s="3">
        <v>0.45574074074074072</v>
      </c>
      <c r="C21" s="2">
        <v>37.632941666666667</v>
      </c>
      <c r="D21" s="2">
        <v>141.01340500000001</v>
      </c>
      <c r="E21" s="4">
        <v>11.4824</v>
      </c>
      <c r="F21" s="5">
        <v>91.3</v>
      </c>
      <c r="G21">
        <v>-72</v>
      </c>
      <c r="H21" s="2">
        <v>37.632960000000004</v>
      </c>
      <c r="I21" s="2">
        <v>141.01333333333332</v>
      </c>
      <c r="J21" s="4">
        <v>0</v>
      </c>
      <c r="K21" s="5">
        <v>302</v>
      </c>
      <c r="L21">
        <v>-91</v>
      </c>
      <c r="M21" s="2">
        <v>37.632939999999998</v>
      </c>
      <c r="N21" s="2">
        <v>141.01338666666666</v>
      </c>
      <c r="O21" s="4">
        <v>11.4824</v>
      </c>
      <c r="P21" s="5">
        <v>91.3</v>
      </c>
      <c r="Q21" s="2">
        <v>5.2021738381375418</v>
      </c>
      <c r="R21" t="s">
        <v>129</v>
      </c>
    </row>
    <row r="22" spans="1:18" x14ac:dyDescent="0.7">
      <c r="A22">
        <v>62.5</v>
      </c>
      <c r="B22" s="3">
        <v>0.45575231481481482</v>
      </c>
      <c r="C22" s="2">
        <v>37.632939999999998</v>
      </c>
      <c r="D22" s="2">
        <v>141.01344</v>
      </c>
      <c r="E22" s="4">
        <v>11.2972</v>
      </c>
      <c r="F22" s="5">
        <v>91.4</v>
      </c>
      <c r="G22">
        <v>-87</v>
      </c>
      <c r="H22" s="2">
        <v>37.632960000000004</v>
      </c>
      <c r="I22" s="2">
        <v>141.01333333333332</v>
      </c>
      <c r="J22" s="4">
        <v>0</v>
      </c>
      <c r="K22" s="5">
        <v>302</v>
      </c>
      <c r="L22">
        <v>-90</v>
      </c>
      <c r="M22" s="2">
        <v>37.632939999999998</v>
      </c>
      <c r="N22" s="2">
        <v>141.01344</v>
      </c>
      <c r="O22" s="4">
        <v>11.2972</v>
      </c>
      <c r="P22" s="5">
        <v>91.4</v>
      </c>
      <c r="Q22" s="2">
        <v>9.6634503616773682</v>
      </c>
      <c r="R22" t="s">
        <v>129</v>
      </c>
    </row>
    <row r="23" spans="1:18" x14ac:dyDescent="0.7">
      <c r="A23">
        <v>67.5</v>
      </c>
      <c r="B23" s="3">
        <v>0.45575231481481482</v>
      </c>
      <c r="C23" s="2">
        <v>37.632939999999998</v>
      </c>
      <c r="D23" s="2">
        <v>141.01344</v>
      </c>
      <c r="E23" s="4">
        <v>11.2972</v>
      </c>
      <c r="F23" s="5">
        <v>91.4</v>
      </c>
      <c r="G23">
        <v>-87</v>
      </c>
      <c r="H23" s="2">
        <v>37.632960000000004</v>
      </c>
      <c r="I23" s="2">
        <v>141.01333333333332</v>
      </c>
      <c r="J23" s="4">
        <v>0</v>
      </c>
      <c r="K23" s="5">
        <v>302</v>
      </c>
      <c r="L23">
        <v>-90</v>
      </c>
      <c r="M23" s="2">
        <v>37.632939999999998</v>
      </c>
      <c r="N23" s="2">
        <v>141.01344</v>
      </c>
      <c r="O23" s="4">
        <v>11.2972</v>
      </c>
      <c r="P23" s="5">
        <v>91.4</v>
      </c>
      <c r="Q23" s="2">
        <v>9.6634503616773682</v>
      </c>
      <c r="R23" t="s">
        <v>129</v>
      </c>
    </row>
    <row r="24" spans="1:18" x14ac:dyDescent="0.7">
      <c r="A24">
        <v>67.5</v>
      </c>
      <c r="B24" s="3">
        <v>0.45576388888888886</v>
      </c>
      <c r="C24" s="2">
        <v>37.63294333333333</v>
      </c>
      <c r="D24" s="2">
        <v>141.013475</v>
      </c>
      <c r="E24" s="4">
        <v>11.2972</v>
      </c>
      <c r="F24" s="5">
        <v>90.5</v>
      </c>
      <c r="G24">
        <v>-82</v>
      </c>
      <c r="H24" s="2">
        <v>37.632960000000004</v>
      </c>
      <c r="I24" s="2">
        <v>141.01333333333332</v>
      </c>
      <c r="J24" s="4">
        <v>0</v>
      </c>
      <c r="K24" s="5">
        <v>302</v>
      </c>
      <c r="L24">
        <v>-81</v>
      </c>
      <c r="M24" s="2">
        <v>37.632946666666662</v>
      </c>
      <c r="N24" s="2">
        <v>141.01346666666669</v>
      </c>
      <c r="O24" s="4">
        <v>11.2972</v>
      </c>
      <c r="P24" s="5">
        <v>90.5</v>
      </c>
      <c r="Q24" s="2">
        <v>11.847847716231417</v>
      </c>
      <c r="R24" t="s">
        <v>129</v>
      </c>
    </row>
    <row r="25" spans="1:18" x14ac:dyDescent="0.7">
      <c r="A25">
        <v>67.5</v>
      </c>
      <c r="B25" s="3">
        <v>0.45577546296296295</v>
      </c>
      <c r="C25" s="2">
        <v>37.63294333333333</v>
      </c>
      <c r="D25" s="2">
        <v>141.01351000000003</v>
      </c>
      <c r="E25" s="4">
        <v>11.112</v>
      </c>
      <c r="F25" s="5">
        <v>89.5</v>
      </c>
      <c r="G25">
        <v>-86</v>
      </c>
      <c r="H25" s="2">
        <v>37.632960000000004</v>
      </c>
      <c r="I25" s="2">
        <v>141.01333333333332</v>
      </c>
      <c r="J25" s="4">
        <v>0</v>
      </c>
      <c r="K25" s="5">
        <v>302</v>
      </c>
      <c r="L25">
        <v>-82</v>
      </c>
      <c r="M25" s="2">
        <v>37.632946666666662</v>
      </c>
      <c r="N25" s="2">
        <v>141.01349333333334</v>
      </c>
      <c r="O25" s="4">
        <v>11.112</v>
      </c>
      <c r="P25" s="5">
        <v>89.5</v>
      </c>
      <c r="Q25" s="2">
        <v>14.183194700909587</v>
      </c>
      <c r="R25" t="s">
        <v>129</v>
      </c>
    </row>
    <row r="26" spans="1:18" x14ac:dyDescent="0.7">
      <c r="A26">
        <v>72.5</v>
      </c>
      <c r="B26" s="3">
        <v>0.45577546296296295</v>
      </c>
      <c r="C26" s="2">
        <v>37.63294333333333</v>
      </c>
      <c r="D26" s="2">
        <v>141.01351000000003</v>
      </c>
      <c r="E26" s="4">
        <v>11.112</v>
      </c>
      <c r="F26" s="5">
        <v>89.5</v>
      </c>
      <c r="G26">
        <v>-86</v>
      </c>
      <c r="H26" s="2">
        <v>37.632960000000004</v>
      </c>
      <c r="I26" s="2">
        <v>141.01333333333332</v>
      </c>
      <c r="J26" s="4">
        <v>0</v>
      </c>
      <c r="K26" s="5">
        <v>302</v>
      </c>
      <c r="L26">
        <v>-82</v>
      </c>
      <c r="M26" s="2">
        <v>37.632946666666662</v>
      </c>
      <c r="N26" s="2">
        <v>141.01349333333334</v>
      </c>
      <c r="O26" s="4">
        <v>11.112</v>
      </c>
      <c r="P26" s="5">
        <v>89.5</v>
      </c>
      <c r="Q26" s="2">
        <v>14.183194700909587</v>
      </c>
      <c r="R26" t="s">
        <v>129</v>
      </c>
    </row>
    <row r="27" spans="1:18" x14ac:dyDescent="0.7">
      <c r="A27">
        <v>72.5</v>
      </c>
      <c r="B27" s="3">
        <v>0.45578703703703699</v>
      </c>
      <c r="C27" s="2">
        <v>37.63294333333333</v>
      </c>
      <c r="D27" s="2">
        <v>141.01354000000001</v>
      </c>
      <c r="E27" s="4">
        <v>11.112</v>
      </c>
      <c r="F27" s="5">
        <v>89</v>
      </c>
      <c r="G27">
        <v>-83</v>
      </c>
      <c r="H27" s="2">
        <v>37.632960000000004</v>
      </c>
      <c r="I27" s="2">
        <v>141.01333333333332</v>
      </c>
      <c r="J27" s="4">
        <v>0</v>
      </c>
      <c r="K27" s="5">
        <v>302</v>
      </c>
      <c r="L27">
        <v>-83</v>
      </c>
      <c r="M27" s="2">
        <v>37.632946666666662</v>
      </c>
      <c r="N27" s="2">
        <v>141.01354666666666</v>
      </c>
      <c r="O27" s="4">
        <v>11.112</v>
      </c>
      <c r="P27" s="5">
        <v>89</v>
      </c>
      <c r="Q27" s="2">
        <v>18.865707189440347</v>
      </c>
      <c r="R27" t="s">
        <v>129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B062-B893-423F-8817-B24277ADC616}">
  <sheetPr codeName="Sheet169"/>
  <dimension ref="A1:R27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0.45728009259259261</v>
      </c>
      <c r="C2" s="2">
        <v>37.632950000000001</v>
      </c>
      <c r="D2" s="2">
        <v>141.01273833333335</v>
      </c>
      <c r="E2" s="4">
        <v>11.4824</v>
      </c>
      <c r="F2" s="5">
        <v>92.1</v>
      </c>
      <c r="G2">
        <v>-66</v>
      </c>
      <c r="H2" s="2">
        <v>37.632960000000004</v>
      </c>
      <c r="I2" s="2">
        <v>141.01330666666667</v>
      </c>
      <c r="J2" s="4">
        <v>0</v>
      </c>
      <c r="K2" s="5">
        <v>302</v>
      </c>
      <c r="L2">
        <v>-64</v>
      </c>
      <c r="M2" s="2">
        <v>37.632946666666662</v>
      </c>
      <c r="N2" s="2">
        <v>141.01274666666669</v>
      </c>
      <c r="O2" s="4">
        <v>11.4824</v>
      </c>
      <c r="P2" s="5">
        <v>92.1</v>
      </c>
      <c r="Q2" s="2">
        <v>49.390941419752743</v>
      </c>
      <c r="R2" t="s">
        <v>131</v>
      </c>
    </row>
    <row r="3" spans="1:18" x14ac:dyDescent="0.7">
      <c r="A3">
        <v>7.5</v>
      </c>
      <c r="B3" s="3">
        <v>0.45729166666666665</v>
      </c>
      <c r="C3" s="2">
        <v>37.632948333333339</v>
      </c>
      <c r="D3" s="2">
        <v>141.01279333333332</v>
      </c>
      <c r="E3" s="4">
        <v>15.927200000000001</v>
      </c>
      <c r="F3" s="5">
        <v>91.9</v>
      </c>
      <c r="G3">
        <v>-64</v>
      </c>
      <c r="H3" s="2">
        <v>37.632966666666668</v>
      </c>
      <c r="I3" s="2">
        <v>141.01330666666667</v>
      </c>
      <c r="J3" s="4">
        <v>0</v>
      </c>
      <c r="K3" s="5">
        <v>302</v>
      </c>
      <c r="L3">
        <v>-61</v>
      </c>
      <c r="M3" s="2">
        <v>37.632946666666662</v>
      </c>
      <c r="N3" s="2">
        <v>141.01277333333334</v>
      </c>
      <c r="O3" s="4">
        <v>15.927200000000001</v>
      </c>
      <c r="P3" s="5">
        <v>91.9</v>
      </c>
      <c r="Q3" s="2">
        <v>47.070281500217007</v>
      </c>
      <c r="R3" t="s">
        <v>131</v>
      </c>
    </row>
    <row r="4" spans="1:18" x14ac:dyDescent="0.7">
      <c r="A4">
        <v>17.5</v>
      </c>
      <c r="B4" s="3">
        <v>0.45731481481481479</v>
      </c>
      <c r="C4" s="2">
        <v>37.632950000000001</v>
      </c>
      <c r="D4" s="2">
        <v>141.01292166666664</v>
      </c>
      <c r="E4" s="4">
        <v>21.1128</v>
      </c>
      <c r="F4" s="5">
        <v>89.8</v>
      </c>
      <c r="G4">
        <v>-58</v>
      </c>
      <c r="H4" s="2">
        <v>37.632973333333332</v>
      </c>
      <c r="I4" s="2">
        <v>141.01330666666667</v>
      </c>
      <c r="J4" s="4">
        <v>0</v>
      </c>
      <c r="K4" s="5">
        <v>302</v>
      </c>
      <c r="L4">
        <v>-59</v>
      </c>
      <c r="M4" s="2">
        <v>37.632946666666662</v>
      </c>
      <c r="N4" s="2">
        <v>141.01290666666668</v>
      </c>
      <c r="O4" s="4">
        <v>21.1128</v>
      </c>
      <c r="P4" s="5">
        <v>89.8</v>
      </c>
      <c r="Q4" s="2">
        <v>35.388052654569897</v>
      </c>
      <c r="R4" t="s">
        <v>131</v>
      </c>
    </row>
    <row r="5" spans="1:18" x14ac:dyDescent="0.7">
      <c r="A5">
        <v>22.5</v>
      </c>
      <c r="B5" s="3">
        <v>0.45731481481481479</v>
      </c>
      <c r="C5" s="2">
        <v>37.632950000000001</v>
      </c>
      <c r="D5" s="2">
        <v>141.01292166666664</v>
      </c>
      <c r="E5" s="4">
        <v>21.1128</v>
      </c>
      <c r="F5" s="5">
        <v>89.8</v>
      </c>
      <c r="G5">
        <v>-58</v>
      </c>
      <c r="H5" s="2">
        <v>37.632973333333332</v>
      </c>
      <c r="I5" s="2">
        <v>141.01330666666667</v>
      </c>
      <c r="J5" s="4">
        <v>0</v>
      </c>
      <c r="K5" s="5">
        <v>302</v>
      </c>
      <c r="L5">
        <v>-59</v>
      </c>
      <c r="M5" s="2">
        <v>37.632946666666662</v>
      </c>
      <c r="N5" s="2">
        <v>141.01290666666668</v>
      </c>
      <c r="O5" s="4">
        <v>21.1128</v>
      </c>
      <c r="P5" s="5">
        <v>89.8</v>
      </c>
      <c r="Q5" s="2">
        <v>35.388052654569897</v>
      </c>
      <c r="R5" t="s">
        <v>131</v>
      </c>
    </row>
    <row r="6" spans="1:18" x14ac:dyDescent="0.7">
      <c r="A6">
        <v>27.5</v>
      </c>
      <c r="B6" s="3">
        <v>0.45732638888888894</v>
      </c>
      <c r="C6" s="2">
        <v>37.632950000000001</v>
      </c>
      <c r="D6" s="2">
        <v>141.01298666666668</v>
      </c>
      <c r="E6" s="4">
        <v>21.1128</v>
      </c>
      <c r="F6" s="5">
        <v>89.7</v>
      </c>
      <c r="G6">
        <v>-59</v>
      </c>
      <c r="H6" s="2">
        <v>37.632973333333332</v>
      </c>
      <c r="I6" s="2">
        <v>141.01330666666667</v>
      </c>
      <c r="J6" s="4">
        <v>0</v>
      </c>
      <c r="K6" s="5">
        <v>302</v>
      </c>
      <c r="L6">
        <v>-61</v>
      </c>
      <c r="M6" s="2">
        <v>37.632946666666662</v>
      </c>
      <c r="N6" s="2">
        <v>141.01298666666668</v>
      </c>
      <c r="O6" s="4">
        <v>21.1128</v>
      </c>
      <c r="P6" s="5">
        <v>89.7</v>
      </c>
      <c r="Q6" s="2">
        <v>28.366389401819173</v>
      </c>
      <c r="R6" t="s">
        <v>131</v>
      </c>
    </row>
    <row r="7" spans="1:18" x14ac:dyDescent="0.7">
      <c r="A7">
        <v>27.5</v>
      </c>
      <c r="B7" s="3">
        <v>0.45733796296296297</v>
      </c>
      <c r="C7" s="2">
        <v>37.632950000000001</v>
      </c>
      <c r="D7" s="2">
        <v>141.01305333333332</v>
      </c>
      <c r="E7" s="4">
        <v>20.7424</v>
      </c>
      <c r="F7" s="5">
        <v>89.7</v>
      </c>
      <c r="G7">
        <v>-61</v>
      </c>
      <c r="H7" s="2">
        <v>37.632973333333332</v>
      </c>
      <c r="I7" s="2">
        <v>141.01330666666667</v>
      </c>
      <c r="J7" s="4">
        <v>0</v>
      </c>
      <c r="K7" s="5">
        <v>302</v>
      </c>
      <c r="L7">
        <v>-53</v>
      </c>
      <c r="M7" s="2">
        <v>37.632946666666662</v>
      </c>
      <c r="N7" s="2">
        <v>141.01303999999999</v>
      </c>
      <c r="O7" s="4">
        <v>20.7424</v>
      </c>
      <c r="P7" s="5">
        <v>89.7</v>
      </c>
      <c r="Q7" s="2">
        <v>23.695695433879063</v>
      </c>
      <c r="R7" t="s">
        <v>131</v>
      </c>
    </row>
    <row r="8" spans="1:18" x14ac:dyDescent="0.7">
      <c r="A8">
        <v>32.5</v>
      </c>
      <c r="B8" s="3">
        <v>0.45733796296296297</v>
      </c>
      <c r="C8" s="2">
        <v>37.632950000000001</v>
      </c>
      <c r="D8" s="2">
        <v>141.01305333333332</v>
      </c>
      <c r="E8" s="4">
        <v>20.7424</v>
      </c>
      <c r="F8" s="5">
        <v>89.7</v>
      </c>
      <c r="G8">
        <v>-61</v>
      </c>
      <c r="H8" s="2">
        <v>37.632973333333332</v>
      </c>
      <c r="I8" s="2">
        <v>141.01330666666667</v>
      </c>
      <c r="J8" s="4">
        <v>0</v>
      </c>
      <c r="K8" s="5">
        <v>302</v>
      </c>
      <c r="L8">
        <v>-53</v>
      </c>
      <c r="M8" s="2">
        <v>37.632946666666662</v>
      </c>
      <c r="N8" s="2">
        <v>141.01303999999999</v>
      </c>
      <c r="O8" s="4">
        <v>20.7424</v>
      </c>
      <c r="P8" s="5">
        <v>89.7</v>
      </c>
      <c r="Q8" s="2">
        <v>23.695695433879063</v>
      </c>
      <c r="R8" t="s">
        <v>131</v>
      </c>
    </row>
    <row r="9" spans="1:18" x14ac:dyDescent="0.7">
      <c r="A9">
        <v>37.5</v>
      </c>
      <c r="B9" s="3">
        <v>0.45734953703703707</v>
      </c>
      <c r="C9" s="2">
        <v>37.632951666666671</v>
      </c>
      <c r="D9" s="2">
        <v>141.01312000000001</v>
      </c>
      <c r="E9" s="4">
        <v>19.6312</v>
      </c>
      <c r="F9" s="5">
        <v>89.8</v>
      </c>
      <c r="G9">
        <v>-53</v>
      </c>
      <c r="H9" s="2">
        <v>37.632973333333332</v>
      </c>
      <c r="I9" s="2">
        <v>141.01330666666667</v>
      </c>
      <c r="J9" s="4">
        <v>0</v>
      </c>
      <c r="K9" s="5">
        <v>302</v>
      </c>
      <c r="L9">
        <v>-52</v>
      </c>
      <c r="M9" s="2">
        <v>37.632946666666662</v>
      </c>
      <c r="N9" s="2">
        <v>141.01312000000001</v>
      </c>
      <c r="O9" s="4">
        <v>19.6312</v>
      </c>
      <c r="P9" s="5">
        <v>89.8</v>
      </c>
      <c r="Q9" s="2">
        <v>16.721929002881904</v>
      </c>
      <c r="R9" t="s">
        <v>131</v>
      </c>
    </row>
    <row r="10" spans="1:18" x14ac:dyDescent="0.7">
      <c r="A10">
        <v>42.5</v>
      </c>
      <c r="B10" s="3">
        <v>0.45736111111111111</v>
      </c>
      <c r="C10" s="2">
        <v>37.632951666666671</v>
      </c>
      <c r="D10" s="2">
        <v>141.01318833333335</v>
      </c>
      <c r="E10" s="4">
        <v>20.557200000000002</v>
      </c>
      <c r="F10" s="5">
        <v>90.1</v>
      </c>
      <c r="G10">
        <v>-61</v>
      </c>
      <c r="H10" s="2">
        <v>37.632973333333332</v>
      </c>
      <c r="I10" s="2">
        <v>141.01330666666667</v>
      </c>
      <c r="J10" s="4">
        <v>0</v>
      </c>
      <c r="K10" s="5">
        <v>302</v>
      </c>
      <c r="L10">
        <v>-36</v>
      </c>
      <c r="M10" s="2">
        <v>37.632946666666662</v>
      </c>
      <c r="N10" s="2">
        <v>141.01317333333333</v>
      </c>
      <c r="O10" s="4">
        <v>20.557200000000002</v>
      </c>
      <c r="P10" s="5">
        <v>90.1</v>
      </c>
      <c r="Q10" s="2">
        <v>12.123678860226084</v>
      </c>
      <c r="R10" t="s">
        <v>131</v>
      </c>
    </row>
    <row r="11" spans="1:18" x14ac:dyDescent="0.7">
      <c r="A11">
        <v>47.5</v>
      </c>
      <c r="B11" s="3">
        <v>0.4573726851851852</v>
      </c>
      <c r="C11" s="2">
        <v>37.632948333333339</v>
      </c>
      <c r="D11" s="2">
        <v>141.01325666666668</v>
      </c>
      <c r="E11" s="4">
        <v>20.557200000000002</v>
      </c>
      <c r="F11" s="5">
        <v>90.3</v>
      </c>
      <c r="G11">
        <v>-36</v>
      </c>
      <c r="H11" s="2">
        <v>37.632973333333332</v>
      </c>
      <c r="I11" s="2">
        <v>141.01330666666667</v>
      </c>
      <c r="J11" s="4">
        <v>0</v>
      </c>
      <c r="K11" s="5">
        <v>302</v>
      </c>
      <c r="L11">
        <v>-69</v>
      </c>
      <c r="M11" s="2">
        <v>37.632946666666662</v>
      </c>
      <c r="N11" s="2">
        <v>141.01325333333335</v>
      </c>
      <c r="O11" s="4">
        <v>20.557200000000002</v>
      </c>
      <c r="P11" s="5">
        <v>90.3</v>
      </c>
      <c r="Q11" s="2">
        <v>5.5605455891810838</v>
      </c>
      <c r="R11" t="s">
        <v>131</v>
      </c>
    </row>
    <row r="12" spans="1:18" x14ac:dyDescent="0.7">
      <c r="A12">
        <v>52.5</v>
      </c>
      <c r="B12" s="3">
        <v>0.45738425925925924</v>
      </c>
      <c r="C12" s="2">
        <v>37.632946666666662</v>
      </c>
      <c r="D12" s="2">
        <v>141.01332333333332</v>
      </c>
      <c r="E12" s="4">
        <v>20.557200000000002</v>
      </c>
      <c r="F12" s="5">
        <v>90.6</v>
      </c>
      <c r="G12">
        <v>-66</v>
      </c>
      <c r="H12" s="2">
        <v>37.632973333333332</v>
      </c>
      <c r="I12" s="2">
        <v>141.01330666666667</v>
      </c>
      <c r="J12" s="4">
        <v>0</v>
      </c>
      <c r="K12" s="5">
        <v>302</v>
      </c>
      <c r="L12">
        <v>-82</v>
      </c>
      <c r="M12" s="2">
        <v>37.632946666666662</v>
      </c>
      <c r="N12" s="2">
        <v>141.01330666666667</v>
      </c>
      <c r="O12" s="4">
        <v>20.557200000000002</v>
      </c>
      <c r="P12" s="5">
        <v>90.6</v>
      </c>
      <c r="Q12" s="2">
        <v>2.969195987687816</v>
      </c>
      <c r="R12" t="s">
        <v>131</v>
      </c>
    </row>
    <row r="13" spans="1:18" x14ac:dyDescent="0.7">
      <c r="A13">
        <v>57.5</v>
      </c>
      <c r="B13" s="3">
        <v>0.45738425925925924</v>
      </c>
      <c r="C13" s="2">
        <v>37.632946666666662</v>
      </c>
      <c r="D13" s="2">
        <v>141.01332333333332</v>
      </c>
      <c r="E13" s="4">
        <v>20.557200000000002</v>
      </c>
      <c r="F13" s="5">
        <v>90.6</v>
      </c>
      <c r="G13">
        <v>-66</v>
      </c>
      <c r="H13" s="2">
        <v>37.632973333333332</v>
      </c>
      <c r="I13" s="2">
        <v>141.01330666666667</v>
      </c>
      <c r="J13" s="4">
        <v>0</v>
      </c>
      <c r="K13" s="5">
        <v>302</v>
      </c>
      <c r="L13">
        <v>-82</v>
      </c>
      <c r="M13" s="2">
        <v>37.632946666666662</v>
      </c>
      <c r="N13" s="2">
        <v>141.01330666666667</v>
      </c>
      <c r="O13" s="4">
        <v>20.557200000000002</v>
      </c>
      <c r="P13" s="5">
        <v>90.6</v>
      </c>
      <c r="Q13" s="2">
        <v>2.969195987687816</v>
      </c>
      <c r="R13" t="s">
        <v>131</v>
      </c>
    </row>
    <row r="14" spans="1:18" x14ac:dyDescent="0.7">
      <c r="A14">
        <v>62.5</v>
      </c>
      <c r="B14" s="3">
        <v>0.45739583333333328</v>
      </c>
      <c r="C14" s="2">
        <v>37.632946666666662</v>
      </c>
      <c r="D14" s="2">
        <v>141.01339166666668</v>
      </c>
      <c r="E14" s="4">
        <v>20.7424</v>
      </c>
      <c r="F14" s="5">
        <v>90.5</v>
      </c>
      <c r="G14">
        <v>-83</v>
      </c>
      <c r="H14" s="2">
        <v>37.632973333333332</v>
      </c>
      <c r="I14" s="2">
        <v>141.01330666666667</v>
      </c>
      <c r="J14" s="4">
        <v>0</v>
      </c>
      <c r="K14" s="5">
        <v>302</v>
      </c>
      <c r="L14">
        <v>-86</v>
      </c>
      <c r="M14" s="2">
        <v>37.632946666666662</v>
      </c>
      <c r="N14" s="2">
        <v>141.01338666666666</v>
      </c>
      <c r="O14" s="4">
        <v>20.7424</v>
      </c>
      <c r="P14" s="5">
        <v>90.5</v>
      </c>
      <c r="Q14" s="2">
        <v>7.6524758382776392</v>
      </c>
      <c r="R14" t="s">
        <v>131</v>
      </c>
    </row>
    <row r="15" spans="1:18" x14ac:dyDescent="0.7">
      <c r="A15">
        <v>67.5</v>
      </c>
      <c r="B15" s="3">
        <v>0.45740740740740743</v>
      </c>
      <c r="C15" s="2">
        <v>37.63294333333333</v>
      </c>
      <c r="D15" s="2">
        <v>141.01346333333333</v>
      </c>
      <c r="E15" s="4">
        <v>20.7424</v>
      </c>
      <c r="F15" s="5">
        <v>90.5</v>
      </c>
      <c r="G15">
        <v>-85</v>
      </c>
      <c r="H15" s="2">
        <v>37.632973333333332</v>
      </c>
      <c r="I15" s="2">
        <v>141.01330666666667</v>
      </c>
      <c r="J15" s="4">
        <v>0</v>
      </c>
      <c r="K15" s="5">
        <v>302</v>
      </c>
      <c r="L15">
        <v>-89</v>
      </c>
      <c r="M15" s="2">
        <v>37.632946666666662</v>
      </c>
      <c r="N15" s="2">
        <v>141.01344</v>
      </c>
      <c r="O15" s="4">
        <v>20.7424</v>
      </c>
      <c r="P15" s="5">
        <v>90.5</v>
      </c>
      <c r="Q15" s="2">
        <v>12.123678860226084</v>
      </c>
      <c r="R15" t="s">
        <v>131</v>
      </c>
    </row>
    <row r="16" spans="1:18" x14ac:dyDescent="0.7">
      <c r="A16">
        <v>72.5</v>
      </c>
      <c r="B16" s="3">
        <v>0.45741898148148147</v>
      </c>
      <c r="C16" s="2">
        <v>37.63294333333333</v>
      </c>
      <c r="D16" s="2">
        <v>141.01353666666668</v>
      </c>
      <c r="E16" s="4">
        <v>21.1128</v>
      </c>
      <c r="F16" s="5">
        <v>90.3</v>
      </c>
      <c r="Q16" s="2">
        <v>0</v>
      </c>
      <c r="R16" t="s">
        <v>131</v>
      </c>
    </row>
    <row r="17" spans="1:18" x14ac:dyDescent="0.7">
      <c r="A17">
        <v>77.5</v>
      </c>
      <c r="B17" s="3">
        <v>0.45793981481481483</v>
      </c>
      <c r="C17" s="2">
        <v>37.632906666666671</v>
      </c>
      <c r="D17" s="2">
        <v>141.01362</v>
      </c>
      <c r="E17" s="4">
        <v>24.816800000000001</v>
      </c>
      <c r="F17" s="5">
        <v>269.7</v>
      </c>
      <c r="G17">
        <v>-57</v>
      </c>
      <c r="H17" s="2">
        <v>37.632993333333339</v>
      </c>
      <c r="I17" s="2">
        <v>141.01328000000001</v>
      </c>
      <c r="J17" s="4">
        <v>0</v>
      </c>
      <c r="K17" s="5">
        <v>13.9</v>
      </c>
      <c r="L17">
        <v>-57</v>
      </c>
      <c r="M17" s="2">
        <v>37.632906666666671</v>
      </c>
      <c r="N17" s="2">
        <v>141.01362666666668</v>
      </c>
      <c r="O17" s="4">
        <v>24.816800000000001</v>
      </c>
      <c r="P17" s="5">
        <v>269.7</v>
      </c>
      <c r="Q17" s="2">
        <v>32.048066103116852</v>
      </c>
      <c r="R17" t="s">
        <v>131</v>
      </c>
    </row>
    <row r="18" spans="1:18" x14ac:dyDescent="0.7">
      <c r="A18">
        <v>2.5</v>
      </c>
      <c r="B18" s="3">
        <v>0.45967592592592593</v>
      </c>
      <c r="C18" s="2">
        <v>37.632944999999999</v>
      </c>
      <c r="D18" s="2">
        <v>141.01273833333335</v>
      </c>
      <c r="E18" s="4">
        <v>13.704800000000001</v>
      </c>
      <c r="F18" s="5">
        <v>93</v>
      </c>
      <c r="G18">
        <v>-67</v>
      </c>
      <c r="H18" s="2">
        <v>37.632960000000004</v>
      </c>
      <c r="I18" s="2">
        <v>141.01330666666667</v>
      </c>
      <c r="J18" s="4">
        <v>0</v>
      </c>
      <c r="K18" s="5">
        <v>13.9</v>
      </c>
      <c r="L18">
        <v>-66</v>
      </c>
      <c r="M18" s="2">
        <v>37.632946666666662</v>
      </c>
      <c r="N18" s="2">
        <v>141.01274666666669</v>
      </c>
      <c r="O18" s="4">
        <v>13.704800000000001</v>
      </c>
      <c r="P18" s="5">
        <v>93</v>
      </c>
      <c r="Q18" s="2">
        <v>49.390941419752743</v>
      </c>
      <c r="R18" t="s">
        <v>131</v>
      </c>
    </row>
    <row r="19" spans="1:18" x14ac:dyDescent="0.7">
      <c r="A19">
        <v>7.5</v>
      </c>
      <c r="B19" s="3">
        <v>0.45968750000000003</v>
      </c>
      <c r="C19" s="2">
        <v>37.63294333333333</v>
      </c>
      <c r="D19" s="2">
        <v>141.01278833333333</v>
      </c>
      <c r="E19" s="4">
        <v>15.371600000000003</v>
      </c>
      <c r="F19" s="5">
        <v>91.9</v>
      </c>
      <c r="G19">
        <v>-65</v>
      </c>
      <c r="H19" s="2">
        <v>37.632960000000004</v>
      </c>
      <c r="I19" s="2">
        <v>141.01330666666667</v>
      </c>
      <c r="J19" s="4">
        <v>0</v>
      </c>
      <c r="K19" s="5">
        <v>13.9</v>
      </c>
      <c r="L19">
        <v>-63</v>
      </c>
      <c r="M19" s="2">
        <v>37.632946666666662</v>
      </c>
      <c r="N19" s="2">
        <v>141.01277333333334</v>
      </c>
      <c r="O19" s="4">
        <v>15.371600000000001</v>
      </c>
      <c r="P19" s="5">
        <v>91.9</v>
      </c>
      <c r="Q19" s="2">
        <v>47.041103244580661</v>
      </c>
      <c r="R19" t="s">
        <v>131</v>
      </c>
    </row>
    <row r="20" spans="1:18" x14ac:dyDescent="0.7">
      <c r="A20">
        <v>7.5</v>
      </c>
      <c r="B20" s="3">
        <v>0.45969907407407407</v>
      </c>
      <c r="C20" s="2">
        <v>37.63294333333333</v>
      </c>
      <c r="D20" s="2">
        <v>141.012845</v>
      </c>
      <c r="E20" s="4">
        <v>16.667999999999999</v>
      </c>
      <c r="F20" s="5">
        <v>90.4</v>
      </c>
      <c r="G20">
        <v>-62</v>
      </c>
      <c r="H20" s="2">
        <v>37.632960000000004</v>
      </c>
      <c r="I20" s="2">
        <v>141.01330666666667</v>
      </c>
      <c r="J20" s="4">
        <v>0</v>
      </c>
      <c r="K20" s="5">
        <v>13.9</v>
      </c>
      <c r="L20">
        <v>-59</v>
      </c>
      <c r="M20" s="2">
        <v>37.632946666666662</v>
      </c>
      <c r="N20" s="2">
        <v>141.01282666666665</v>
      </c>
      <c r="O20" s="4">
        <v>16.667999999999999</v>
      </c>
      <c r="P20" s="5">
        <v>90.4</v>
      </c>
      <c r="Q20" s="2">
        <v>42.342093989979567</v>
      </c>
      <c r="R20" t="s">
        <v>131</v>
      </c>
    </row>
    <row r="21" spans="1:18" x14ac:dyDescent="0.7">
      <c r="A21">
        <v>27.5</v>
      </c>
      <c r="B21" s="3">
        <v>0.4597222222222222</v>
      </c>
      <c r="C21" s="2">
        <v>37.632944999999999</v>
      </c>
      <c r="D21" s="2">
        <v>141.01297333333332</v>
      </c>
      <c r="E21" s="4">
        <v>19.446000000000002</v>
      </c>
      <c r="F21" s="5">
        <v>89.3</v>
      </c>
      <c r="G21">
        <v>-57</v>
      </c>
      <c r="H21" s="2">
        <v>37.632960000000004</v>
      </c>
      <c r="I21" s="2">
        <v>141.01330666666667</v>
      </c>
      <c r="J21" s="4">
        <v>0</v>
      </c>
      <c r="K21" s="5">
        <v>13.9</v>
      </c>
      <c r="L21">
        <v>-59</v>
      </c>
      <c r="M21" s="2">
        <v>37.632946666666662</v>
      </c>
      <c r="N21" s="2">
        <v>141.01295999999999</v>
      </c>
      <c r="O21" s="4">
        <v>19.446000000000002</v>
      </c>
      <c r="P21" s="5">
        <v>89.3</v>
      </c>
      <c r="Q21" s="2">
        <v>30.597506734143469</v>
      </c>
      <c r="R21" t="s">
        <v>131</v>
      </c>
    </row>
    <row r="22" spans="1:18" x14ac:dyDescent="0.7">
      <c r="A22">
        <v>27.5</v>
      </c>
      <c r="B22" s="3">
        <v>0.45973379629629635</v>
      </c>
      <c r="C22" s="2">
        <v>37.63294333333333</v>
      </c>
      <c r="D22" s="2">
        <v>141.01304333333334</v>
      </c>
      <c r="E22" s="4">
        <v>21.4832</v>
      </c>
      <c r="F22" s="5">
        <v>89.9</v>
      </c>
      <c r="G22">
        <v>-59</v>
      </c>
      <c r="H22" s="2">
        <v>37.632960000000004</v>
      </c>
      <c r="I22" s="2">
        <v>141.01330666666667</v>
      </c>
      <c r="J22" s="4">
        <v>0</v>
      </c>
      <c r="K22" s="5">
        <v>13.9</v>
      </c>
      <c r="L22">
        <v>-52</v>
      </c>
      <c r="M22" s="2">
        <v>37.632946666666662</v>
      </c>
      <c r="N22" s="2">
        <v>141.01303999999999</v>
      </c>
      <c r="O22" s="4">
        <v>21.4832</v>
      </c>
      <c r="P22" s="5">
        <v>89.9</v>
      </c>
      <c r="Q22" s="2">
        <v>23.555761257689049</v>
      </c>
      <c r="R22" t="s">
        <v>131</v>
      </c>
    </row>
    <row r="23" spans="1:18" x14ac:dyDescent="0.7">
      <c r="A23">
        <v>32.5</v>
      </c>
      <c r="B23" s="3">
        <v>0.45973379629629635</v>
      </c>
      <c r="C23" s="2">
        <v>37.63294333333333</v>
      </c>
      <c r="D23" s="2">
        <v>141.01304333333334</v>
      </c>
      <c r="E23" s="4">
        <v>21.4832</v>
      </c>
      <c r="F23" s="5">
        <v>89.9</v>
      </c>
      <c r="G23">
        <v>-59</v>
      </c>
      <c r="H23" s="2">
        <v>37.632960000000004</v>
      </c>
      <c r="I23" s="2">
        <v>141.01330666666667</v>
      </c>
      <c r="J23" s="4">
        <v>0</v>
      </c>
      <c r="K23" s="5">
        <v>13.9</v>
      </c>
      <c r="L23">
        <v>-52</v>
      </c>
      <c r="M23" s="2">
        <v>37.632946666666662</v>
      </c>
      <c r="N23" s="2">
        <v>141.01303999999999</v>
      </c>
      <c r="O23" s="4">
        <v>21.4832</v>
      </c>
      <c r="P23" s="5">
        <v>89.9</v>
      </c>
      <c r="Q23" s="2">
        <v>23.555761257689049</v>
      </c>
      <c r="R23" t="s">
        <v>131</v>
      </c>
    </row>
    <row r="24" spans="1:18" x14ac:dyDescent="0.7">
      <c r="A24">
        <v>42.5</v>
      </c>
      <c r="B24" s="3">
        <v>0.45975694444444443</v>
      </c>
      <c r="C24" s="2">
        <v>37.63294333333333</v>
      </c>
      <c r="D24" s="2">
        <v>141.01318166666667</v>
      </c>
      <c r="E24" s="4">
        <v>22.224</v>
      </c>
      <c r="F24" s="5">
        <v>89.9</v>
      </c>
      <c r="G24">
        <v>-45</v>
      </c>
      <c r="H24" s="2">
        <v>37.632960000000004</v>
      </c>
      <c r="I24" s="2">
        <v>141.01330666666667</v>
      </c>
      <c r="J24" s="4">
        <v>0</v>
      </c>
      <c r="K24" s="5">
        <v>13.9</v>
      </c>
      <c r="L24">
        <v>-51</v>
      </c>
      <c r="M24" s="2">
        <v>37.632946666666662</v>
      </c>
      <c r="N24" s="2">
        <v>141.01319999999998</v>
      </c>
      <c r="O24" s="4">
        <v>22.224</v>
      </c>
      <c r="P24" s="5">
        <v>89.9</v>
      </c>
      <c r="Q24" s="2">
        <v>9.5203081250669808</v>
      </c>
      <c r="R24" t="s">
        <v>131</v>
      </c>
    </row>
    <row r="25" spans="1:18" x14ac:dyDescent="0.7">
      <c r="A25">
        <v>47.5</v>
      </c>
      <c r="B25" s="3">
        <v>0.45976851851851852</v>
      </c>
      <c r="C25" s="2">
        <v>37.632948333333339</v>
      </c>
      <c r="D25" s="2">
        <v>141.01324833333334</v>
      </c>
      <c r="E25" s="4">
        <v>21.4832</v>
      </c>
      <c r="F25" s="5">
        <v>88.8</v>
      </c>
      <c r="G25">
        <v>-48</v>
      </c>
      <c r="H25" s="2">
        <v>37.632960000000004</v>
      </c>
      <c r="I25" s="2">
        <v>141.01330666666667</v>
      </c>
      <c r="J25" s="4">
        <v>0</v>
      </c>
      <c r="K25" s="5">
        <v>13.9</v>
      </c>
      <c r="L25">
        <v>-58</v>
      </c>
      <c r="M25" s="2">
        <v>37.632946666666662</v>
      </c>
      <c r="N25" s="2">
        <v>141.01325333333335</v>
      </c>
      <c r="O25" s="4">
        <v>21.4832</v>
      </c>
      <c r="P25" s="5">
        <v>88.8</v>
      </c>
      <c r="Q25" s="2">
        <v>4.9311871343198854</v>
      </c>
      <c r="R25" t="s">
        <v>131</v>
      </c>
    </row>
    <row r="26" spans="1:18" x14ac:dyDescent="0.7">
      <c r="A26">
        <v>57.5</v>
      </c>
      <c r="B26" s="3">
        <v>0.45979166666666665</v>
      </c>
      <c r="C26" s="2">
        <v>37.632948333333339</v>
      </c>
      <c r="D26" s="2">
        <v>141.01339000000002</v>
      </c>
      <c r="E26" s="4">
        <v>21.4832</v>
      </c>
      <c r="F26" s="5">
        <v>89.6</v>
      </c>
      <c r="G26">
        <v>-81</v>
      </c>
      <c r="H26" s="2">
        <v>37.632960000000004</v>
      </c>
      <c r="I26" s="2">
        <v>141.01330666666667</v>
      </c>
      <c r="J26" s="4">
        <v>0</v>
      </c>
      <c r="K26" s="5">
        <v>13.9</v>
      </c>
      <c r="L26">
        <v>-82</v>
      </c>
      <c r="M26" s="2">
        <v>37.632946666666662</v>
      </c>
      <c r="N26" s="2">
        <v>141.01338666666666</v>
      </c>
      <c r="O26" s="4">
        <v>21.4832</v>
      </c>
      <c r="P26" s="5">
        <v>89.6</v>
      </c>
      <c r="Q26" s="2">
        <v>7.2081430162853817</v>
      </c>
      <c r="R26" t="s">
        <v>131</v>
      </c>
    </row>
    <row r="27" spans="1:18" x14ac:dyDescent="0.7">
      <c r="A27">
        <v>62.5</v>
      </c>
      <c r="B27" s="3">
        <v>0.45979166666666665</v>
      </c>
      <c r="C27" s="2">
        <v>37.632948333333339</v>
      </c>
      <c r="D27" s="2">
        <v>141.01339000000002</v>
      </c>
      <c r="E27" s="4">
        <v>21.4832</v>
      </c>
      <c r="F27" s="5">
        <v>89.6</v>
      </c>
      <c r="G27">
        <v>-81</v>
      </c>
      <c r="H27" s="2">
        <v>37.632960000000004</v>
      </c>
      <c r="I27" s="2">
        <v>141.01330666666667</v>
      </c>
      <c r="J27" s="4">
        <v>0</v>
      </c>
      <c r="K27" s="5">
        <v>13.9</v>
      </c>
      <c r="L27">
        <v>-82</v>
      </c>
      <c r="M27" s="2">
        <v>37.632946666666662</v>
      </c>
      <c r="N27" s="2">
        <v>141.01338666666666</v>
      </c>
      <c r="O27" s="4">
        <v>21.4832</v>
      </c>
      <c r="P27" s="5">
        <v>89.6</v>
      </c>
      <c r="Q27" s="2">
        <v>7.2081430162853817</v>
      </c>
      <c r="R27" t="s">
        <v>131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4CB35-7803-4767-AA0E-A25FF7CAD340}">
  <sheetPr codeName="Sheet170"/>
  <dimension ref="A1:R16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0.46440972222222227</v>
      </c>
      <c r="C2" s="2">
        <v>37.632941666666667</v>
      </c>
      <c r="D2" s="2">
        <v>141.01273666666665</v>
      </c>
      <c r="E2" s="4">
        <v>11.4824</v>
      </c>
      <c r="F2" s="5">
        <v>93.4</v>
      </c>
      <c r="G2">
        <v>-66</v>
      </c>
      <c r="H2" s="2">
        <v>37.633013333333331</v>
      </c>
      <c r="I2" s="2">
        <v>141.01322666666667</v>
      </c>
      <c r="J2" s="4">
        <v>0</v>
      </c>
      <c r="K2" s="5">
        <v>13.9</v>
      </c>
      <c r="L2">
        <v>-64</v>
      </c>
      <c r="M2" s="2">
        <v>37.632939999999998</v>
      </c>
      <c r="N2" s="2">
        <v>141.01274666666669</v>
      </c>
      <c r="O2" s="4">
        <v>11.4824</v>
      </c>
      <c r="P2" s="5">
        <v>93.4</v>
      </c>
      <c r="Q2" s="2">
        <v>43.096121305975203</v>
      </c>
      <c r="R2" t="s">
        <v>133</v>
      </c>
    </row>
    <row r="3" spans="1:18" x14ac:dyDescent="0.7">
      <c r="A3">
        <v>2.5</v>
      </c>
      <c r="B3" s="3">
        <v>0.4644212962962963</v>
      </c>
      <c r="C3" s="2">
        <v>37.632941666666667</v>
      </c>
      <c r="D3" s="2">
        <v>141.012775</v>
      </c>
      <c r="E3" s="4">
        <v>11.852800000000002</v>
      </c>
      <c r="F3" s="5">
        <v>92.8</v>
      </c>
      <c r="G3">
        <v>-65</v>
      </c>
      <c r="H3" s="2">
        <v>37.633013333333331</v>
      </c>
      <c r="I3" s="2">
        <v>141.01322666666667</v>
      </c>
      <c r="J3" s="4">
        <v>0</v>
      </c>
      <c r="K3" s="5">
        <v>13.9</v>
      </c>
      <c r="L3">
        <v>-62</v>
      </c>
      <c r="M3" s="2">
        <v>37.632939999999998</v>
      </c>
      <c r="N3" s="2">
        <v>141.01277333333334</v>
      </c>
      <c r="O3" s="4">
        <v>11.8528</v>
      </c>
      <c r="P3" s="5">
        <v>92.8</v>
      </c>
      <c r="Q3" s="2">
        <v>40.790254163305733</v>
      </c>
      <c r="R3" t="s">
        <v>133</v>
      </c>
    </row>
    <row r="4" spans="1:18" x14ac:dyDescent="0.7">
      <c r="A4">
        <v>27.5</v>
      </c>
      <c r="B4" s="3">
        <v>0.46447916666666672</v>
      </c>
      <c r="C4" s="2">
        <v>37.632938333333328</v>
      </c>
      <c r="D4" s="2">
        <v>141.01298</v>
      </c>
      <c r="E4" s="4">
        <v>12.4084</v>
      </c>
      <c r="F4" s="5">
        <v>91.6</v>
      </c>
      <c r="G4">
        <v>-57</v>
      </c>
      <c r="H4" s="2">
        <v>37.63306</v>
      </c>
      <c r="I4" s="2">
        <v>141.01317333333333</v>
      </c>
      <c r="J4" s="4">
        <v>0</v>
      </c>
      <c r="K4" s="5">
        <v>13.9</v>
      </c>
      <c r="L4">
        <v>-57</v>
      </c>
      <c r="M4" s="2">
        <v>37.632939999999998</v>
      </c>
      <c r="N4" s="2">
        <v>141.01295999999999</v>
      </c>
      <c r="O4" s="4">
        <v>12.4084</v>
      </c>
      <c r="P4" s="5">
        <v>91.6</v>
      </c>
      <c r="Q4" s="2">
        <v>23.068313221619672</v>
      </c>
      <c r="R4" t="s">
        <v>133</v>
      </c>
    </row>
    <row r="5" spans="1:18" x14ac:dyDescent="0.7">
      <c r="A5">
        <v>27.5</v>
      </c>
      <c r="B5" s="3">
        <v>0.46449074074074076</v>
      </c>
      <c r="C5" s="2">
        <v>37.632936666666666</v>
      </c>
      <c r="D5" s="2">
        <v>141.01302333333334</v>
      </c>
      <c r="E5" s="4">
        <v>12.4084</v>
      </c>
      <c r="F5" s="5">
        <v>91.6</v>
      </c>
      <c r="G5">
        <v>-56</v>
      </c>
      <c r="H5" s="2">
        <v>37.63306</v>
      </c>
      <c r="I5" s="2">
        <v>141.01317333333333</v>
      </c>
      <c r="J5" s="4">
        <v>0</v>
      </c>
      <c r="K5" s="5">
        <v>13.9</v>
      </c>
      <c r="L5">
        <v>-58</v>
      </c>
      <c r="M5" s="2">
        <v>37.632933333333334</v>
      </c>
      <c r="N5" s="2">
        <v>141.01301333333333</v>
      </c>
      <c r="O5" s="4">
        <v>12.4084</v>
      </c>
      <c r="P5" s="5">
        <v>91.6</v>
      </c>
      <c r="Q5" s="2">
        <v>19.944711093998766</v>
      </c>
      <c r="R5" t="s">
        <v>133</v>
      </c>
    </row>
    <row r="6" spans="1:18" x14ac:dyDescent="0.7">
      <c r="A6">
        <v>32.5</v>
      </c>
      <c r="B6" s="3">
        <v>0.4645023148148148</v>
      </c>
      <c r="C6" s="2">
        <v>37.632936666666666</v>
      </c>
      <c r="D6" s="2">
        <v>141.01306500000001</v>
      </c>
      <c r="E6" s="4">
        <v>12.4084</v>
      </c>
      <c r="F6" s="5">
        <v>91.5</v>
      </c>
      <c r="G6">
        <v>-57</v>
      </c>
      <c r="H6" s="2">
        <v>37.633053333333336</v>
      </c>
      <c r="I6" s="2">
        <v>141.01317333333333</v>
      </c>
      <c r="J6" s="4">
        <v>0</v>
      </c>
      <c r="K6" s="5">
        <v>13.9</v>
      </c>
      <c r="L6">
        <v>-57</v>
      </c>
      <c r="M6" s="2">
        <v>37.632933333333334</v>
      </c>
      <c r="N6" s="2">
        <v>141.01306666666667</v>
      </c>
      <c r="O6" s="4">
        <v>12.4084</v>
      </c>
      <c r="P6" s="5">
        <v>91.5</v>
      </c>
      <c r="Q6" s="2">
        <v>16.336384754472224</v>
      </c>
      <c r="R6" t="s">
        <v>133</v>
      </c>
    </row>
    <row r="7" spans="1:18" x14ac:dyDescent="0.7">
      <c r="A7">
        <v>42.5</v>
      </c>
      <c r="B7" s="3">
        <v>0.46456018518518521</v>
      </c>
      <c r="C7" s="2">
        <v>37.63294333333333</v>
      </c>
      <c r="D7" s="2">
        <v>141.01324333333332</v>
      </c>
      <c r="E7" s="4">
        <v>12.038</v>
      </c>
      <c r="F7" s="5">
        <v>88.7</v>
      </c>
      <c r="G7">
        <v>-38</v>
      </c>
      <c r="H7" s="2">
        <v>37.63306</v>
      </c>
      <c r="I7" s="2">
        <v>141.01317333333333</v>
      </c>
      <c r="J7" s="4">
        <v>0</v>
      </c>
      <c r="K7" s="5">
        <v>13.9</v>
      </c>
      <c r="L7">
        <v>-46</v>
      </c>
      <c r="M7" s="2">
        <v>37.632946666666662</v>
      </c>
      <c r="N7" s="2">
        <v>141.01322666666667</v>
      </c>
      <c r="O7" s="4">
        <v>12.038</v>
      </c>
      <c r="P7" s="5">
        <v>88.7</v>
      </c>
      <c r="Q7" s="2">
        <v>13.463748868795282</v>
      </c>
      <c r="R7" t="s">
        <v>133</v>
      </c>
    </row>
    <row r="8" spans="1:18" x14ac:dyDescent="0.7">
      <c r="A8">
        <v>47.5</v>
      </c>
      <c r="B8" s="3">
        <v>0.46456018518518521</v>
      </c>
      <c r="C8" s="2">
        <v>37.63294333333333</v>
      </c>
      <c r="D8" s="2">
        <v>141.01324333333332</v>
      </c>
      <c r="E8" s="4">
        <v>12.038</v>
      </c>
      <c r="F8" s="5">
        <v>88.7</v>
      </c>
      <c r="G8">
        <v>-38</v>
      </c>
      <c r="H8" s="2">
        <v>37.63306</v>
      </c>
      <c r="I8" s="2">
        <v>141.01317333333333</v>
      </c>
      <c r="J8" s="4">
        <v>0</v>
      </c>
      <c r="K8" s="5">
        <v>13.9</v>
      </c>
      <c r="L8">
        <v>-46</v>
      </c>
      <c r="M8" s="2">
        <v>37.632946666666662</v>
      </c>
      <c r="N8" s="2">
        <v>141.01322666666667</v>
      </c>
      <c r="O8" s="4">
        <v>12.038</v>
      </c>
      <c r="P8" s="5">
        <v>88.7</v>
      </c>
      <c r="Q8" s="2">
        <v>13.463748868795282</v>
      </c>
      <c r="R8" t="s">
        <v>133</v>
      </c>
    </row>
    <row r="9" spans="1:18" x14ac:dyDescent="0.7">
      <c r="A9">
        <v>47.5</v>
      </c>
      <c r="B9" s="3">
        <v>0.46457175925925925</v>
      </c>
      <c r="C9" s="2">
        <v>37.63294333333333</v>
      </c>
      <c r="D9" s="2">
        <v>141.01327833333335</v>
      </c>
      <c r="E9" s="4">
        <v>12.038</v>
      </c>
      <c r="F9" s="5">
        <v>89.1</v>
      </c>
      <c r="G9">
        <v>-52</v>
      </c>
      <c r="H9" s="2">
        <v>37.633053333333336</v>
      </c>
      <c r="I9" s="2">
        <v>141.01317333333333</v>
      </c>
      <c r="J9" s="4">
        <v>0</v>
      </c>
      <c r="K9" s="5">
        <v>13.9</v>
      </c>
      <c r="L9">
        <v>-78</v>
      </c>
      <c r="M9" s="2">
        <v>37.632946666666662</v>
      </c>
      <c r="N9" s="2">
        <v>141.01328000000001</v>
      </c>
      <c r="O9" s="4">
        <v>12.038</v>
      </c>
      <c r="P9" s="5">
        <v>89.1</v>
      </c>
      <c r="Q9" s="2">
        <v>15.146549748742261</v>
      </c>
      <c r="R9" t="s">
        <v>133</v>
      </c>
    </row>
    <row r="10" spans="1:18" x14ac:dyDescent="0.7">
      <c r="A10">
        <v>52.5</v>
      </c>
      <c r="B10" s="3">
        <v>0.46457175925925925</v>
      </c>
      <c r="C10" s="2">
        <v>37.63294333333333</v>
      </c>
      <c r="D10" s="2">
        <v>141.01327833333335</v>
      </c>
      <c r="E10" s="4">
        <v>12.038</v>
      </c>
      <c r="F10" s="5">
        <v>89.1</v>
      </c>
      <c r="G10">
        <v>-52</v>
      </c>
      <c r="H10" s="2">
        <v>37.633053333333336</v>
      </c>
      <c r="I10" s="2">
        <v>141.01317333333333</v>
      </c>
      <c r="J10" s="4">
        <v>0</v>
      </c>
      <c r="K10" s="5">
        <v>13.9</v>
      </c>
      <c r="L10">
        <v>-78</v>
      </c>
      <c r="M10" s="2">
        <v>37.632946666666662</v>
      </c>
      <c r="N10" s="2">
        <v>141.01328000000001</v>
      </c>
      <c r="O10" s="4">
        <v>12.038</v>
      </c>
      <c r="P10" s="5">
        <v>89.1</v>
      </c>
      <c r="Q10" s="2">
        <v>15.146549748742261</v>
      </c>
      <c r="R10" t="s">
        <v>133</v>
      </c>
    </row>
    <row r="11" spans="1:18" x14ac:dyDescent="0.7">
      <c r="A11">
        <v>52.5</v>
      </c>
      <c r="B11" s="3">
        <v>0.46458333333333335</v>
      </c>
      <c r="C11" s="2">
        <v>37.63294333333333</v>
      </c>
      <c r="D11" s="2">
        <v>141.01331833333333</v>
      </c>
      <c r="E11" s="4">
        <v>12.038</v>
      </c>
      <c r="F11" s="5">
        <v>90.5</v>
      </c>
      <c r="G11">
        <v>-71</v>
      </c>
      <c r="H11" s="2">
        <v>37.633053333333336</v>
      </c>
      <c r="I11" s="2">
        <v>141.01317333333333</v>
      </c>
      <c r="J11" s="4">
        <v>0</v>
      </c>
      <c r="K11" s="5">
        <v>13.9</v>
      </c>
      <c r="L11">
        <v>-63</v>
      </c>
      <c r="M11" s="2">
        <v>37.632946666666662</v>
      </c>
      <c r="N11" s="2">
        <v>141.01330666666667</v>
      </c>
      <c r="O11" s="4">
        <v>12.038</v>
      </c>
      <c r="P11" s="5">
        <v>90.5</v>
      </c>
      <c r="Q11" s="2">
        <v>16.708418951670502</v>
      </c>
      <c r="R11" t="s">
        <v>133</v>
      </c>
    </row>
    <row r="12" spans="1:18" x14ac:dyDescent="0.7">
      <c r="A12">
        <v>57.5</v>
      </c>
      <c r="B12" s="3">
        <v>0.46459490740740739</v>
      </c>
      <c r="C12" s="2">
        <v>37.632941666666667</v>
      </c>
      <c r="D12" s="2">
        <v>141.01335499999999</v>
      </c>
      <c r="E12" s="4">
        <v>12.038</v>
      </c>
      <c r="F12" s="5">
        <v>91.4</v>
      </c>
      <c r="G12">
        <v>-63</v>
      </c>
      <c r="H12" s="2">
        <v>37.633053333333336</v>
      </c>
      <c r="I12" s="2">
        <v>141.01317333333333</v>
      </c>
      <c r="J12" s="4">
        <v>0</v>
      </c>
      <c r="K12" s="5">
        <v>13.9</v>
      </c>
      <c r="L12">
        <v>-79</v>
      </c>
      <c r="M12" s="2">
        <v>37.632939999999998</v>
      </c>
      <c r="N12" s="2">
        <v>141.01336000000001</v>
      </c>
      <c r="O12" s="4">
        <v>12.038</v>
      </c>
      <c r="P12" s="5">
        <v>91.4</v>
      </c>
      <c r="Q12" s="2">
        <v>20.735639440763819</v>
      </c>
      <c r="R12" t="s">
        <v>133</v>
      </c>
    </row>
    <row r="13" spans="1:18" x14ac:dyDescent="0.7">
      <c r="A13">
        <v>57.5</v>
      </c>
      <c r="B13" s="3">
        <v>0.46460648148148148</v>
      </c>
      <c r="C13" s="2">
        <v>37.632939999999998</v>
      </c>
      <c r="D13" s="2">
        <v>141.01338333333334</v>
      </c>
      <c r="E13" s="4">
        <v>12.038</v>
      </c>
      <c r="F13" s="5">
        <v>91.2</v>
      </c>
      <c r="G13">
        <v>-74</v>
      </c>
      <c r="H13" s="2">
        <v>37.633046666666672</v>
      </c>
      <c r="I13" s="2">
        <v>141.01317333333333</v>
      </c>
      <c r="J13" s="4">
        <v>0</v>
      </c>
      <c r="K13" s="5">
        <v>13.9</v>
      </c>
      <c r="L13">
        <v>-79</v>
      </c>
      <c r="M13" s="2">
        <v>37.632939999999998</v>
      </c>
      <c r="N13" s="2">
        <v>141.01338666666666</v>
      </c>
      <c r="O13" s="4">
        <v>12.038</v>
      </c>
      <c r="P13" s="5">
        <v>91.2</v>
      </c>
      <c r="Q13" s="2">
        <v>22.241979300368875</v>
      </c>
      <c r="R13" t="s">
        <v>133</v>
      </c>
    </row>
    <row r="14" spans="1:18" x14ac:dyDescent="0.7">
      <c r="A14">
        <v>62.5</v>
      </c>
      <c r="B14" s="3">
        <v>0.46460648148148148</v>
      </c>
      <c r="C14" s="2">
        <v>37.632939999999998</v>
      </c>
      <c r="D14" s="2">
        <v>141.01338333333334</v>
      </c>
      <c r="E14" s="4">
        <v>12.038</v>
      </c>
      <c r="F14" s="5">
        <v>91.2</v>
      </c>
      <c r="G14">
        <v>-74</v>
      </c>
      <c r="H14" s="2">
        <v>37.633046666666672</v>
      </c>
      <c r="I14" s="2">
        <v>141.01317333333333</v>
      </c>
      <c r="J14" s="4">
        <v>0</v>
      </c>
      <c r="K14" s="5">
        <v>13.9</v>
      </c>
      <c r="L14">
        <v>-79</v>
      </c>
      <c r="M14" s="2">
        <v>37.632939999999998</v>
      </c>
      <c r="N14" s="2">
        <v>141.01338666666666</v>
      </c>
      <c r="O14" s="4">
        <v>12.038</v>
      </c>
      <c r="P14" s="5">
        <v>91.2</v>
      </c>
      <c r="Q14" s="2">
        <v>22.241979300368875</v>
      </c>
      <c r="R14" t="s">
        <v>133</v>
      </c>
    </row>
    <row r="15" spans="1:18" x14ac:dyDescent="0.7">
      <c r="A15">
        <v>72.5</v>
      </c>
      <c r="B15" s="3">
        <v>0.4646527777777778</v>
      </c>
      <c r="C15" s="2">
        <v>37.632934999999996</v>
      </c>
      <c r="D15" s="2">
        <v>141.01355000000001</v>
      </c>
      <c r="E15" s="4">
        <v>11.852800000000002</v>
      </c>
      <c r="F15" s="5">
        <v>90</v>
      </c>
      <c r="G15">
        <v>-80</v>
      </c>
      <c r="H15" s="2">
        <v>37.633040000000001</v>
      </c>
      <c r="I15" s="2">
        <v>141.01319999999998</v>
      </c>
      <c r="J15" s="4">
        <v>0</v>
      </c>
      <c r="K15" s="5">
        <v>139</v>
      </c>
      <c r="L15">
        <v>-82</v>
      </c>
      <c r="M15" s="2">
        <v>37.632933333333334</v>
      </c>
      <c r="N15" s="2">
        <v>141.01354666666666</v>
      </c>
      <c r="O15" s="4">
        <v>11.8528</v>
      </c>
      <c r="P15" s="5">
        <v>90</v>
      </c>
      <c r="Q15" s="2">
        <v>32.787302217094997</v>
      </c>
      <c r="R15" t="s">
        <v>133</v>
      </c>
    </row>
    <row r="16" spans="1:18" x14ac:dyDescent="0.7">
      <c r="A16">
        <v>77.5</v>
      </c>
      <c r="B16" s="3">
        <v>0.46466435185185184</v>
      </c>
      <c r="C16" s="2">
        <v>37.632933333333334</v>
      </c>
      <c r="D16" s="2">
        <v>141.01358833333333</v>
      </c>
      <c r="E16" s="4">
        <v>11.852800000000002</v>
      </c>
      <c r="F16" s="5">
        <v>90</v>
      </c>
      <c r="G16">
        <v>-83</v>
      </c>
      <c r="H16" s="2">
        <v>37.633040000000001</v>
      </c>
      <c r="I16" s="2">
        <v>141.01319999999998</v>
      </c>
      <c r="J16" s="4">
        <v>0</v>
      </c>
      <c r="K16" s="5">
        <v>139</v>
      </c>
      <c r="L16">
        <v>-82</v>
      </c>
      <c r="M16" s="2">
        <v>37.632933333333334</v>
      </c>
      <c r="N16" s="2">
        <v>141.01357333333331</v>
      </c>
      <c r="O16" s="4">
        <v>11.8528</v>
      </c>
      <c r="P16" s="5">
        <v>90</v>
      </c>
      <c r="Q16" s="2">
        <v>34.989011685930379</v>
      </c>
      <c r="R16" t="s">
        <v>133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AF9ED-AF99-4924-A8FC-79D261404F55}">
  <sheetPr codeName="Sheet171"/>
  <dimension ref="A1:R17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0.46590277777777778</v>
      </c>
      <c r="C2" s="2">
        <v>37.63294333333333</v>
      </c>
      <c r="D2" s="2">
        <v>141.01270833333334</v>
      </c>
      <c r="E2" s="4">
        <v>9.4451999999999998</v>
      </c>
      <c r="F2" s="5">
        <v>89.2</v>
      </c>
      <c r="G2">
        <v>-69</v>
      </c>
      <c r="H2" s="2">
        <v>37.632986666666667</v>
      </c>
      <c r="I2" s="2">
        <v>141.01328000000001</v>
      </c>
      <c r="J2" s="4">
        <v>0</v>
      </c>
      <c r="K2" s="5">
        <v>13.9</v>
      </c>
      <c r="L2">
        <v>-67</v>
      </c>
      <c r="M2" s="2">
        <v>37.632946666666662</v>
      </c>
      <c r="N2" s="2">
        <v>141.01269333333332</v>
      </c>
      <c r="O2" s="4">
        <v>9.4451999999999998</v>
      </c>
      <c r="P2" s="5">
        <v>89.2</v>
      </c>
      <c r="Q2" s="2">
        <v>51.910839578701435</v>
      </c>
      <c r="R2" t="s">
        <v>135</v>
      </c>
    </row>
    <row r="3" spans="1:18" x14ac:dyDescent="0.7">
      <c r="A3">
        <v>2.5</v>
      </c>
      <c r="B3" s="3">
        <v>0.46591435185185182</v>
      </c>
      <c r="C3" s="2">
        <v>37.63294333333333</v>
      </c>
      <c r="D3" s="2">
        <v>141.01273666666665</v>
      </c>
      <c r="E3" s="4">
        <v>9.4451999999999998</v>
      </c>
      <c r="F3" s="5">
        <v>90.1</v>
      </c>
      <c r="G3">
        <v>-66</v>
      </c>
      <c r="H3" s="2">
        <v>37.632986666666667</v>
      </c>
      <c r="I3" s="2">
        <v>141.01328000000001</v>
      </c>
      <c r="J3" s="4">
        <v>0</v>
      </c>
      <c r="K3" s="5">
        <v>13.9</v>
      </c>
      <c r="L3">
        <v>-67</v>
      </c>
      <c r="M3" s="2">
        <v>37.632946666666662</v>
      </c>
      <c r="N3" s="2">
        <v>141.01274666666669</v>
      </c>
      <c r="O3" s="4">
        <v>9.4451999999999998</v>
      </c>
      <c r="P3" s="5">
        <v>90.1</v>
      </c>
      <c r="Q3" s="2">
        <v>47.228144617315266</v>
      </c>
      <c r="R3" t="s">
        <v>135</v>
      </c>
    </row>
    <row r="4" spans="1:18" x14ac:dyDescent="0.7">
      <c r="A4">
        <v>2.5</v>
      </c>
      <c r="B4" s="3">
        <v>0.46592592592592591</v>
      </c>
      <c r="C4" s="2">
        <v>37.63294333333333</v>
      </c>
      <c r="D4" s="2">
        <v>141.01276833333336</v>
      </c>
      <c r="E4" s="4">
        <v>9.6304000000000016</v>
      </c>
      <c r="F4" s="5">
        <v>90.5</v>
      </c>
      <c r="G4">
        <v>-66</v>
      </c>
      <c r="H4" s="2">
        <v>37.632986666666667</v>
      </c>
      <c r="I4" s="2">
        <v>141.01328000000001</v>
      </c>
      <c r="J4" s="4">
        <v>0</v>
      </c>
      <c r="K4" s="5">
        <v>13.9</v>
      </c>
      <c r="L4">
        <v>-64</v>
      </c>
      <c r="M4" s="2">
        <v>37.632946666666662</v>
      </c>
      <c r="N4" s="2">
        <v>141.01277333333334</v>
      </c>
      <c r="O4" s="4">
        <v>9.6303999999999998</v>
      </c>
      <c r="P4" s="5">
        <v>90.5</v>
      </c>
      <c r="Q4" s="2">
        <v>44.888241576727893</v>
      </c>
      <c r="R4" t="s">
        <v>135</v>
      </c>
    </row>
    <row r="5" spans="1:18" x14ac:dyDescent="0.7">
      <c r="A5">
        <v>7.5</v>
      </c>
      <c r="B5" s="3">
        <v>0.46592592592592591</v>
      </c>
      <c r="C5" s="2">
        <v>37.63294333333333</v>
      </c>
      <c r="D5" s="2">
        <v>141.01276833333336</v>
      </c>
      <c r="E5" s="4">
        <v>9.6304000000000016</v>
      </c>
      <c r="F5" s="5">
        <v>90.5</v>
      </c>
      <c r="G5">
        <v>-66</v>
      </c>
      <c r="H5" s="2">
        <v>37.632986666666667</v>
      </c>
      <c r="I5" s="2">
        <v>141.01328000000001</v>
      </c>
      <c r="J5" s="4">
        <v>0</v>
      </c>
      <c r="K5" s="5">
        <v>13.9</v>
      </c>
      <c r="L5">
        <v>-64</v>
      </c>
      <c r="M5" s="2">
        <v>37.632946666666662</v>
      </c>
      <c r="N5" s="2">
        <v>141.01277333333334</v>
      </c>
      <c r="O5" s="4">
        <v>9.6303999999999998</v>
      </c>
      <c r="P5" s="5">
        <v>90.5</v>
      </c>
      <c r="Q5" s="2">
        <v>44.888241576727893</v>
      </c>
      <c r="R5" t="s">
        <v>135</v>
      </c>
    </row>
    <row r="6" spans="1:18" x14ac:dyDescent="0.7">
      <c r="A6">
        <v>7.5</v>
      </c>
      <c r="B6" s="3">
        <v>0.46593749999999995</v>
      </c>
      <c r="C6" s="2">
        <v>37.63294333333333</v>
      </c>
      <c r="D6" s="2">
        <v>141.01280166666666</v>
      </c>
      <c r="E6" s="4">
        <v>9.26</v>
      </c>
      <c r="F6" s="5">
        <v>90.7</v>
      </c>
      <c r="G6">
        <v>-64</v>
      </c>
      <c r="H6" s="2">
        <v>37.632986666666667</v>
      </c>
      <c r="I6" s="2">
        <v>141.01328000000001</v>
      </c>
      <c r="J6" s="4">
        <v>0</v>
      </c>
      <c r="K6" s="5">
        <v>13.9</v>
      </c>
      <c r="L6">
        <v>-63</v>
      </c>
      <c r="M6" s="2">
        <v>37.632946666666662</v>
      </c>
      <c r="N6" s="2">
        <v>141.0128</v>
      </c>
      <c r="O6" s="4">
        <v>9.26</v>
      </c>
      <c r="P6" s="5">
        <v>90.7</v>
      </c>
      <c r="Q6" s="2">
        <v>42.549584102728758</v>
      </c>
      <c r="R6" t="s">
        <v>135</v>
      </c>
    </row>
    <row r="7" spans="1:18" x14ac:dyDescent="0.7">
      <c r="A7">
        <v>57.5</v>
      </c>
      <c r="B7" s="3">
        <v>0.46609953703703705</v>
      </c>
      <c r="C7" s="2">
        <v>37.632934999999996</v>
      </c>
      <c r="D7" s="2">
        <v>141.01332499999998</v>
      </c>
      <c r="E7" s="4">
        <v>10.7416</v>
      </c>
      <c r="F7" s="5">
        <v>90.2</v>
      </c>
      <c r="G7">
        <v>-57</v>
      </c>
      <c r="H7" s="2">
        <v>37.632973333333332</v>
      </c>
      <c r="I7" s="2">
        <v>141.01330666666667</v>
      </c>
      <c r="J7" s="4">
        <v>0</v>
      </c>
      <c r="K7" s="5">
        <v>13.9</v>
      </c>
      <c r="L7">
        <v>-64</v>
      </c>
      <c r="M7" s="2">
        <v>37.632933333333334</v>
      </c>
      <c r="N7" s="2">
        <v>141.01330666666667</v>
      </c>
      <c r="O7" s="4">
        <v>10.7416</v>
      </c>
      <c r="P7" s="5">
        <v>90.2</v>
      </c>
      <c r="Q7" s="2">
        <v>4.4527797966252631</v>
      </c>
      <c r="R7" t="s">
        <v>135</v>
      </c>
    </row>
    <row r="8" spans="1:18" x14ac:dyDescent="0.7">
      <c r="A8">
        <v>57.5</v>
      </c>
      <c r="B8" s="3">
        <v>0.46611111111111114</v>
      </c>
      <c r="C8" s="2">
        <v>37.632933333333334</v>
      </c>
      <c r="D8" s="2">
        <v>141.01335833333331</v>
      </c>
      <c r="E8" s="4">
        <v>10.7416</v>
      </c>
      <c r="F8" s="5">
        <v>91.2</v>
      </c>
      <c r="G8">
        <v>-63</v>
      </c>
      <c r="H8" s="2">
        <v>37.632973333333332</v>
      </c>
      <c r="I8" s="2">
        <v>141.01328000000001</v>
      </c>
      <c r="J8" s="4">
        <v>0</v>
      </c>
      <c r="K8" s="5">
        <v>13.9</v>
      </c>
      <c r="L8">
        <v>-61</v>
      </c>
      <c r="M8" s="2">
        <v>37.632933333333334</v>
      </c>
      <c r="N8" s="2">
        <v>141.01336000000001</v>
      </c>
      <c r="O8" s="4">
        <v>10.7416</v>
      </c>
      <c r="P8" s="5">
        <v>91.2</v>
      </c>
      <c r="Q8" s="2">
        <v>8.340953754911304</v>
      </c>
      <c r="R8" t="s">
        <v>135</v>
      </c>
    </row>
    <row r="9" spans="1:18" x14ac:dyDescent="0.7">
      <c r="A9">
        <v>57.5</v>
      </c>
      <c r="B9" s="3">
        <v>0.46612268518518518</v>
      </c>
      <c r="C9" s="2">
        <v>37.632934999999996</v>
      </c>
      <c r="D9" s="2">
        <v>141.01339000000002</v>
      </c>
      <c r="E9" s="4">
        <v>10.5564</v>
      </c>
      <c r="F9" s="5">
        <v>91.5</v>
      </c>
      <c r="G9">
        <v>-63</v>
      </c>
      <c r="H9" s="2">
        <v>37.632973333333332</v>
      </c>
      <c r="I9" s="2">
        <v>141.01328000000001</v>
      </c>
      <c r="J9" s="4">
        <v>0</v>
      </c>
      <c r="K9" s="5">
        <v>13.9</v>
      </c>
      <c r="L9">
        <v>-85</v>
      </c>
      <c r="M9" s="2">
        <v>37.632933333333334</v>
      </c>
      <c r="N9" s="2">
        <v>141.01338666666666</v>
      </c>
      <c r="O9" s="4">
        <v>10.5564</v>
      </c>
      <c r="P9" s="5">
        <v>91.5</v>
      </c>
      <c r="Q9" s="2">
        <v>10.404347677691314</v>
      </c>
      <c r="R9" t="s">
        <v>135</v>
      </c>
    </row>
    <row r="10" spans="1:18" x14ac:dyDescent="0.7">
      <c r="A10">
        <v>62.5</v>
      </c>
      <c r="B10" s="3">
        <v>0.46612268518518518</v>
      </c>
      <c r="C10" s="2">
        <v>37.632934999999996</v>
      </c>
      <c r="D10" s="2">
        <v>141.01339000000002</v>
      </c>
      <c r="E10" s="4">
        <v>10.5564</v>
      </c>
      <c r="F10" s="5">
        <v>91.5</v>
      </c>
      <c r="G10">
        <v>-63</v>
      </c>
      <c r="H10" s="2">
        <v>37.632973333333332</v>
      </c>
      <c r="I10" s="2">
        <v>141.01328000000001</v>
      </c>
      <c r="J10" s="4">
        <v>0</v>
      </c>
      <c r="K10" s="5">
        <v>13.9</v>
      </c>
      <c r="L10">
        <v>-85</v>
      </c>
      <c r="M10" s="2">
        <v>37.632933333333334</v>
      </c>
      <c r="N10" s="2">
        <v>141.01338666666666</v>
      </c>
      <c r="O10" s="4">
        <v>10.5564</v>
      </c>
      <c r="P10" s="5">
        <v>91.5</v>
      </c>
      <c r="Q10" s="2">
        <v>10.404347677691314</v>
      </c>
      <c r="R10" t="s">
        <v>135</v>
      </c>
    </row>
    <row r="11" spans="1:18" x14ac:dyDescent="0.7">
      <c r="A11">
        <v>62.5</v>
      </c>
      <c r="B11" s="3">
        <v>0.46613425925925928</v>
      </c>
      <c r="C11" s="2">
        <v>37.632938333333328</v>
      </c>
      <c r="D11" s="2">
        <v>141.01342166666666</v>
      </c>
      <c r="E11" s="4">
        <v>10.5564</v>
      </c>
      <c r="F11" s="5">
        <v>90.5</v>
      </c>
      <c r="G11">
        <v>-80</v>
      </c>
      <c r="H11" s="2">
        <v>37.632973333333332</v>
      </c>
      <c r="I11" s="2">
        <v>141.01328000000001</v>
      </c>
      <c r="J11" s="4">
        <v>0</v>
      </c>
      <c r="K11" s="5">
        <v>13.9</v>
      </c>
      <c r="L11">
        <v>-79</v>
      </c>
      <c r="M11" s="2">
        <v>37.632939999999998</v>
      </c>
      <c r="N11" s="2">
        <v>141.01341333333332</v>
      </c>
      <c r="O11" s="4">
        <v>10.5564</v>
      </c>
      <c r="P11" s="5">
        <v>90.5</v>
      </c>
      <c r="Q11" s="2">
        <v>12.326135907835784</v>
      </c>
      <c r="R11" t="s">
        <v>135</v>
      </c>
    </row>
    <row r="12" spans="1:18" x14ac:dyDescent="0.7">
      <c r="A12">
        <v>67.5</v>
      </c>
      <c r="B12" s="3">
        <v>0.46614583333333331</v>
      </c>
      <c r="C12" s="2">
        <v>37.632936666666666</v>
      </c>
      <c r="D12" s="2">
        <v>141.01345499999999</v>
      </c>
      <c r="E12" s="4">
        <v>10.5564</v>
      </c>
      <c r="F12" s="5">
        <v>91.1</v>
      </c>
      <c r="G12">
        <v>-77</v>
      </c>
      <c r="H12" s="2">
        <v>37.632973333333332</v>
      </c>
      <c r="I12" s="2">
        <v>141.01328000000001</v>
      </c>
      <c r="J12" s="4">
        <v>0</v>
      </c>
      <c r="K12" s="5">
        <v>13.9</v>
      </c>
      <c r="L12">
        <v>-77</v>
      </c>
      <c r="M12" s="2">
        <v>37.632933333333334</v>
      </c>
      <c r="N12" s="2">
        <v>141.01344</v>
      </c>
      <c r="O12" s="4">
        <v>10.5564</v>
      </c>
      <c r="P12" s="5">
        <v>91.1</v>
      </c>
      <c r="Q12" s="2">
        <v>14.791424157563041</v>
      </c>
      <c r="R12" t="s">
        <v>135</v>
      </c>
    </row>
    <row r="13" spans="1:18" x14ac:dyDescent="0.7">
      <c r="A13">
        <v>67.5</v>
      </c>
      <c r="B13" s="3">
        <v>0.46615740740740735</v>
      </c>
      <c r="C13" s="2">
        <v>37.632934999999996</v>
      </c>
      <c r="D13" s="2">
        <v>141.01348999999999</v>
      </c>
      <c r="E13" s="4">
        <v>10.5564</v>
      </c>
      <c r="F13" s="5">
        <v>91.2</v>
      </c>
      <c r="G13">
        <v>-76</v>
      </c>
      <c r="H13" s="2">
        <v>37.632973333333332</v>
      </c>
      <c r="I13" s="2">
        <v>141.01328000000001</v>
      </c>
      <c r="J13" s="4">
        <v>0</v>
      </c>
      <c r="K13" s="5">
        <v>13.9</v>
      </c>
      <c r="L13">
        <v>-83</v>
      </c>
      <c r="M13" s="2">
        <v>37.632933333333334</v>
      </c>
      <c r="N13" s="2">
        <v>141.01349333333334</v>
      </c>
      <c r="O13" s="4">
        <v>10.5564</v>
      </c>
      <c r="P13" s="5">
        <v>91.2</v>
      </c>
      <c r="Q13" s="2">
        <v>19.327134408536093</v>
      </c>
      <c r="R13" t="s">
        <v>135</v>
      </c>
    </row>
    <row r="14" spans="1:18" x14ac:dyDescent="0.7">
      <c r="A14">
        <v>72.5</v>
      </c>
      <c r="B14" s="3">
        <v>0.4661689814814815</v>
      </c>
      <c r="C14" s="2">
        <v>37.632933333333334</v>
      </c>
      <c r="D14" s="2">
        <v>141.01352666666668</v>
      </c>
      <c r="E14" s="4">
        <v>10.5564</v>
      </c>
      <c r="F14" s="5">
        <v>91.9</v>
      </c>
      <c r="G14">
        <v>-82</v>
      </c>
      <c r="H14" s="2">
        <v>37.632973333333332</v>
      </c>
      <c r="I14" s="2">
        <v>141.01328000000001</v>
      </c>
      <c r="J14" s="4">
        <v>0</v>
      </c>
      <c r="K14" s="5">
        <v>13.9</v>
      </c>
      <c r="L14">
        <v>-85</v>
      </c>
      <c r="M14" s="2">
        <v>37.632933333333334</v>
      </c>
      <c r="N14" s="2">
        <v>141.01352</v>
      </c>
      <c r="O14" s="4">
        <v>10.5564</v>
      </c>
      <c r="P14" s="5">
        <v>91.9</v>
      </c>
      <c r="Q14" s="2">
        <v>21.621504826602358</v>
      </c>
      <c r="R14" t="s">
        <v>135</v>
      </c>
    </row>
    <row r="15" spans="1:18" x14ac:dyDescent="0.7">
      <c r="A15">
        <v>72.5</v>
      </c>
      <c r="B15" s="3">
        <v>0.46618055555555554</v>
      </c>
      <c r="C15" s="2">
        <v>37.632931666666664</v>
      </c>
      <c r="D15" s="2">
        <v>141.01356166666667</v>
      </c>
      <c r="E15" s="4">
        <v>10.7416</v>
      </c>
      <c r="F15" s="5">
        <v>90.8</v>
      </c>
      <c r="G15">
        <v>-86</v>
      </c>
      <c r="H15" s="2">
        <v>37.632973333333332</v>
      </c>
      <c r="I15" s="2">
        <v>141.01328000000001</v>
      </c>
      <c r="J15" s="4">
        <v>0</v>
      </c>
      <c r="K15" s="5">
        <v>13.9</v>
      </c>
      <c r="L15">
        <v>-85</v>
      </c>
      <c r="M15" s="2">
        <v>37.632933333333334</v>
      </c>
      <c r="N15" s="2">
        <v>141.01354666666666</v>
      </c>
      <c r="O15" s="4">
        <v>10.7416</v>
      </c>
      <c r="P15" s="5">
        <v>90.8</v>
      </c>
      <c r="Q15" s="2">
        <v>23.926911735296674</v>
      </c>
      <c r="R15" t="s">
        <v>135</v>
      </c>
    </row>
    <row r="16" spans="1:18" x14ac:dyDescent="0.7">
      <c r="A16">
        <v>77.5</v>
      </c>
      <c r="B16" s="3">
        <v>0.46618055555555554</v>
      </c>
      <c r="C16" s="2">
        <v>37.632931666666664</v>
      </c>
      <c r="D16" s="2">
        <v>141.01356166666667</v>
      </c>
      <c r="E16" s="4">
        <v>10.7416</v>
      </c>
      <c r="F16" s="5">
        <v>90.8</v>
      </c>
      <c r="G16">
        <v>-86</v>
      </c>
      <c r="H16" s="2">
        <v>37.632973333333332</v>
      </c>
      <c r="I16" s="2">
        <v>141.01328000000001</v>
      </c>
      <c r="J16" s="4">
        <v>0</v>
      </c>
      <c r="K16" s="5">
        <v>13.9</v>
      </c>
      <c r="L16">
        <v>-85</v>
      </c>
      <c r="M16" s="2">
        <v>37.632933333333334</v>
      </c>
      <c r="N16" s="2">
        <v>141.01354666666666</v>
      </c>
      <c r="O16" s="4">
        <v>10.7416</v>
      </c>
      <c r="P16" s="5">
        <v>90.8</v>
      </c>
      <c r="Q16" s="2">
        <v>23.926911735296674</v>
      </c>
      <c r="R16" t="s">
        <v>135</v>
      </c>
    </row>
    <row r="17" spans="1:18" x14ac:dyDescent="0.7">
      <c r="A17">
        <v>77.5</v>
      </c>
      <c r="B17" s="3">
        <v>0.46619212962962964</v>
      </c>
      <c r="C17" s="2">
        <v>37.632930000000002</v>
      </c>
      <c r="D17" s="2">
        <v>141.01360000000003</v>
      </c>
      <c r="E17" s="4">
        <v>10.7416</v>
      </c>
      <c r="F17" s="5">
        <v>91.2</v>
      </c>
      <c r="G17">
        <v>-83</v>
      </c>
      <c r="H17" s="2">
        <v>37.632973333333332</v>
      </c>
      <c r="I17" s="2">
        <v>141.01328000000001</v>
      </c>
      <c r="J17" s="4">
        <v>0</v>
      </c>
      <c r="K17" s="5">
        <v>13.9</v>
      </c>
      <c r="L17">
        <v>-84</v>
      </c>
      <c r="M17" s="2">
        <v>37.632933333333334</v>
      </c>
      <c r="N17" s="2">
        <v>141.01360000000003</v>
      </c>
      <c r="O17" s="4">
        <v>10.7416</v>
      </c>
      <c r="P17" s="5">
        <v>91.2</v>
      </c>
      <c r="Q17" s="2">
        <v>28.559817415131892</v>
      </c>
      <c r="R17" t="s">
        <v>135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C19D-CFB3-4156-9CE9-47AFE244C78E}">
  <sheetPr codeName="Sheet172"/>
  <dimension ref="A1:R19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0.46767361111111111</v>
      </c>
      <c r="C2" s="2">
        <v>37.632948333333339</v>
      </c>
      <c r="D2" s="2">
        <v>141.01271833333334</v>
      </c>
      <c r="E2" s="4">
        <v>12.964</v>
      </c>
      <c r="F2" s="5">
        <v>86.2</v>
      </c>
      <c r="G2">
        <v>-67</v>
      </c>
      <c r="H2" s="2">
        <v>37.632973333333332</v>
      </c>
      <c r="I2" s="2">
        <v>141.01330666666667</v>
      </c>
      <c r="J2" s="4">
        <v>0</v>
      </c>
      <c r="K2" s="5">
        <v>13.9</v>
      </c>
      <c r="L2">
        <v>-67</v>
      </c>
      <c r="M2" s="2">
        <v>37.632946666666662</v>
      </c>
      <c r="N2" s="2">
        <v>141.01272</v>
      </c>
      <c r="O2" s="4">
        <v>12.964</v>
      </c>
      <c r="P2" s="5">
        <v>86.2</v>
      </c>
      <c r="Q2" s="2">
        <v>51.804672979904822</v>
      </c>
      <c r="R2" t="s">
        <v>137</v>
      </c>
    </row>
    <row r="3" spans="1:18" x14ac:dyDescent="0.7">
      <c r="A3">
        <v>2.5</v>
      </c>
      <c r="B3" s="3">
        <v>0.46768518518518515</v>
      </c>
      <c r="C3" s="2">
        <v>37.632950000000001</v>
      </c>
      <c r="D3" s="2">
        <v>141.01277166666665</v>
      </c>
      <c r="E3" s="4">
        <v>17.594000000000001</v>
      </c>
      <c r="F3" s="5">
        <v>88.7</v>
      </c>
      <c r="G3">
        <v>-66</v>
      </c>
      <c r="H3" s="2">
        <v>37.632973333333332</v>
      </c>
      <c r="I3" s="2">
        <v>141.01330666666667</v>
      </c>
      <c r="J3" s="4">
        <v>0</v>
      </c>
      <c r="K3" s="5">
        <v>13.9</v>
      </c>
      <c r="L3">
        <v>-63</v>
      </c>
      <c r="M3" s="2">
        <v>37.632946666666662</v>
      </c>
      <c r="N3" s="2">
        <v>141.01277333333334</v>
      </c>
      <c r="O3" s="4">
        <v>17.594000000000001</v>
      </c>
      <c r="P3" s="5">
        <v>88.7</v>
      </c>
      <c r="Q3" s="2">
        <v>47.111330781788766</v>
      </c>
      <c r="R3" t="s">
        <v>137</v>
      </c>
    </row>
    <row r="4" spans="1:18" x14ac:dyDescent="0.7">
      <c r="A4">
        <v>7.5</v>
      </c>
      <c r="B4" s="3">
        <v>0.46768518518518515</v>
      </c>
      <c r="C4" s="2">
        <v>37.632950000000001</v>
      </c>
      <c r="D4" s="2">
        <v>141.01277166666665</v>
      </c>
      <c r="E4" s="4">
        <v>17.594000000000001</v>
      </c>
      <c r="F4" s="5">
        <v>88.7</v>
      </c>
      <c r="G4">
        <v>-66</v>
      </c>
      <c r="H4" s="2">
        <v>37.632973333333332</v>
      </c>
      <c r="I4" s="2">
        <v>141.01330666666667</v>
      </c>
      <c r="J4" s="4">
        <v>0</v>
      </c>
      <c r="K4" s="5">
        <v>13.9</v>
      </c>
      <c r="L4">
        <v>-63</v>
      </c>
      <c r="M4" s="2">
        <v>37.632946666666662</v>
      </c>
      <c r="N4" s="2">
        <v>141.01277333333334</v>
      </c>
      <c r="O4" s="4">
        <v>17.594000000000001</v>
      </c>
      <c r="P4" s="5">
        <v>88.7</v>
      </c>
      <c r="Q4" s="2">
        <v>47.111330781788766</v>
      </c>
      <c r="R4" t="s">
        <v>137</v>
      </c>
    </row>
    <row r="5" spans="1:18" x14ac:dyDescent="0.7">
      <c r="A5">
        <v>7.5</v>
      </c>
      <c r="B5" s="3">
        <v>0.4676967592592593</v>
      </c>
      <c r="C5" s="2">
        <v>37.632948333333339</v>
      </c>
      <c r="D5" s="2">
        <v>141.01283000000001</v>
      </c>
      <c r="E5" s="4">
        <v>18.8904</v>
      </c>
      <c r="F5" s="5">
        <v>90.3</v>
      </c>
      <c r="G5">
        <v>-64</v>
      </c>
      <c r="H5" s="2">
        <v>37.632973333333332</v>
      </c>
      <c r="I5" s="2">
        <v>141.01330666666667</v>
      </c>
      <c r="J5" s="4">
        <v>0</v>
      </c>
      <c r="K5" s="5">
        <v>13.9</v>
      </c>
      <c r="L5">
        <v>-61</v>
      </c>
      <c r="M5" s="2">
        <v>37.632946666666662</v>
      </c>
      <c r="N5" s="2">
        <v>141.01285333333331</v>
      </c>
      <c r="O5" s="4">
        <v>18.8904</v>
      </c>
      <c r="P5" s="5">
        <v>90.3</v>
      </c>
      <c r="Q5" s="2">
        <v>40.075243571274129</v>
      </c>
      <c r="R5" t="s">
        <v>137</v>
      </c>
    </row>
    <row r="6" spans="1:18" x14ac:dyDescent="0.7">
      <c r="A6">
        <v>17.5</v>
      </c>
      <c r="B6" s="3">
        <v>0.46770833333333334</v>
      </c>
      <c r="C6" s="2">
        <v>37.632951666666671</v>
      </c>
      <c r="D6" s="2">
        <v>141.01289</v>
      </c>
      <c r="E6" s="4">
        <v>19.446000000000002</v>
      </c>
      <c r="F6" s="5">
        <v>90.7</v>
      </c>
      <c r="G6">
        <v>-61</v>
      </c>
      <c r="H6" s="2">
        <v>37.632973333333332</v>
      </c>
      <c r="I6" s="2">
        <v>141.01328000000001</v>
      </c>
      <c r="J6" s="4">
        <v>0</v>
      </c>
      <c r="K6" s="5">
        <v>13.9</v>
      </c>
      <c r="L6">
        <v>-59</v>
      </c>
      <c r="M6" s="2">
        <v>37.632946666666662</v>
      </c>
      <c r="N6" s="2">
        <v>141.01288000000002</v>
      </c>
      <c r="O6" s="4">
        <v>19.446000000000002</v>
      </c>
      <c r="P6" s="5">
        <v>90.7</v>
      </c>
      <c r="Q6" s="2">
        <v>35.388052654569897</v>
      </c>
      <c r="R6" t="s">
        <v>137</v>
      </c>
    </row>
    <row r="7" spans="1:18" x14ac:dyDescent="0.7">
      <c r="A7">
        <v>22.5</v>
      </c>
      <c r="B7" s="3">
        <v>0.46771990740740743</v>
      </c>
      <c r="C7" s="2">
        <v>37.632951666666671</v>
      </c>
      <c r="D7" s="2">
        <v>141.01295333333334</v>
      </c>
      <c r="E7" s="4">
        <v>20.186800000000002</v>
      </c>
      <c r="F7" s="5">
        <v>91.2</v>
      </c>
      <c r="G7">
        <v>-59</v>
      </c>
      <c r="H7" s="2">
        <v>37.632973333333332</v>
      </c>
      <c r="I7" s="2">
        <v>141.01328000000001</v>
      </c>
      <c r="J7" s="4">
        <v>0</v>
      </c>
      <c r="K7" s="5">
        <v>13.9</v>
      </c>
      <c r="L7">
        <v>-58</v>
      </c>
      <c r="M7" s="2">
        <v>37.632946666666662</v>
      </c>
      <c r="N7" s="2">
        <v>141.01295999999999</v>
      </c>
      <c r="O7" s="4">
        <v>20.186800000000002</v>
      </c>
      <c r="P7" s="5">
        <v>91.2</v>
      </c>
      <c r="Q7" s="2">
        <v>28.366389401819173</v>
      </c>
      <c r="R7" t="s">
        <v>137</v>
      </c>
    </row>
    <row r="8" spans="1:18" x14ac:dyDescent="0.7">
      <c r="A8">
        <v>27.5</v>
      </c>
      <c r="B8" s="3">
        <v>0.46773148148148147</v>
      </c>
      <c r="C8" s="2">
        <v>37.632950000000001</v>
      </c>
      <c r="D8" s="2">
        <v>141.01301833333335</v>
      </c>
      <c r="E8" s="4">
        <v>20.186800000000002</v>
      </c>
      <c r="F8" s="5">
        <v>91.2</v>
      </c>
      <c r="G8">
        <v>-58</v>
      </c>
      <c r="H8" s="2">
        <v>37.632973333333332</v>
      </c>
      <c r="I8" s="2">
        <v>141.01328000000001</v>
      </c>
      <c r="J8" s="4">
        <v>0</v>
      </c>
      <c r="K8" s="5">
        <v>13.9</v>
      </c>
      <c r="L8">
        <v>-56</v>
      </c>
      <c r="M8" s="2">
        <v>37.632946666666662</v>
      </c>
      <c r="N8" s="2">
        <v>141.01301333333333</v>
      </c>
      <c r="O8" s="4">
        <v>20.186800000000002</v>
      </c>
      <c r="P8" s="5">
        <v>91.2</v>
      </c>
      <c r="Q8" s="2">
        <v>23.695695433879063</v>
      </c>
      <c r="R8" t="s">
        <v>137</v>
      </c>
    </row>
    <row r="9" spans="1:18" x14ac:dyDescent="0.7">
      <c r="A9">
        <v>32.5</v>
      </c>
      <c r="B9" s="3">
        <v>0.46774305555555556</v>
      </c>
      <c r="C9" s="2">
        <v>37.632953333333333</v>
      </c>
      <c r="D9" s="2">
        <v>141.01308</v>
      </c>
      <c r="E9" s="4">
        <v>18.8904</v>
      </c>
      <c r="F9" s="5">
        <v>90.8</v>
      </c>
      <c r="G9">
        <v>-54</v>
      </c>
      <c r="H9" s="2">
        <v>37.632973333333332</v>
      </c>
      <c r="I9" s="2">
        <v>141.01328000000001</v>
      </c>
      <c r="J9" s="4">
        <v>0</v>
      </c>
      <c r="K9" s="5">
        <v>13.9</v>
      </c>
      <c r="L9">
        <v>-49</v>
      </c>
      <c r="M9" s="2">
        <v>37.632946666666662</v>
      </c>
      <c r="N9" s="2">
        <v>141.01306666666667</v>
      </c>
      <c r="O9" s="4">
        <v>18.8904</v>
      </c>
      <c r="P9" s="5">
        <v>90.8</v>
      </c>
      <c r="Q9" s="2">
        <v>19.040141841103623</v>
      </c>
      <c r="R9" t="s">
        <v>137</v>
      </c>
    </row>
    <row r="10" spans="1:18" x14ac:dyDescent="0.7">
      <c r="A10">
        <v>37.5</v>
      </c>
      <c r="B10" s="3">
        <v>0.4677546296296296</v>
      </c>
      <c r="C10" s="2">
        <v>37.632955000000003</v>
      </c>
      <c r="D10" s="2">
        <v>141.01314499999998</v>
      </c>
      <c r="E10" s="4">
        <v>19.446000000000002</v>
      </c>
      <c r="F10" s="5">
        <v>89.9</v>
      </c>
      <c r="G10">
        <v>-48</v>
      </c>
      <c r="H10" s="2">
        <v>37.632973333333332</v>
      </c>
      <c r="I10" s="2">
        <v>141.01328000000001</v>
      </c>
      <c r="J10" s="4">
        <v>0</v>
      </c>
      <c r="K10" s="5">
        <v>13.9</v>
      </c>
      <c r="L10">
        <v>-41</v>
      </c>
      <c r="M10" s="2">
        <v>37.632953333333333</v>
      </c>
      <c r="N10" s="2">
        <v>141.01312000000001</v>
      </c>
      <c r="O10" s="4">
        <v>19.446000000000002</v>
      </c>
      <c r="P10" s="5">
        <v>89.9</v>
      </c>
      <c r="Q10" s="2">
        <v>14.279671494553391</v>
      </c>
      <c r="R10" t="s">
        <v>137</v>
      </c>
    </row>
    <row r="11" spans="1:18" x14ac:dyDescent="0.7">
      <c r="A11">
        <v>42.5</v>
      </c>
      <c r="B11" s="3">
        <v>0.46776620370370375</v>
      </c>
      <c r="C11" s="2">
        <v>37.632955000000003</v>
      </c>
      <c r="D11" s="2">
        <v>141.01320833333332</v>
      </c>
      <c r="E11" s="4">
        <v>19.6312</v>
      </c>
      <c r="F11" s="5">
        <v>89.8</v>
      </c>
      <c r="G11">
        <v>-46</v>
      </c>
      <c r="H11" s="2">
        <v>37.632973333333332</v>
      </c>
      <c r="I11" s="2">
        <v>141.01328000000001</v>
      </c>
      <c r="J11" s="4">
        <v>0</v>
      </c>
      <c r="K11" s="5">
        <v>13.9</v>
      </c>
      <c r="L11">
        <v>-54</v>
      </c>
      <c r="M11" s="2">
        <v>37.632953333333333</v>
      </c>
      <c r="N11" s="2">
        <v>141.01319999999998</v>
      </c>
      <c r="O11" s="4">
        <v>19.6312</v>
      </c>
      <c r="P11" s="5">
        <v>89.8</v>
      </c>
      <c r="Q11" s="2">
        <v>7.3961700786524176</v>
      </c>
      <c r="R11" t="s">
        <v>137</v>
      </c>
    </row>
    <row r="12" spans="1:18" x14ac:dyDescent="0.7">
      <c r="A12">
        <v>47.5</v>
      </c>
      <c r="B12" s="3">
        <v>0.46777777777777779</v>
      </c>
      <c r="C12" s="2">
        <v>37.632953333333333</v>
      </c>
      <c r="D12" s="2">
        <v>141.01327166666667</v>
      </c>
      <c r="E12" s="4">
        <v>19.6312</v>
      </c>
      <c r="F12" s="5">
        <v>89.9</v>
      </c>
      <c r="G12">
        <v>-60</v>
      </c>
      <c r="H12" s="2">
        <v>37.632973333333332</v>
      </c>
      <c r="I12" s="2">
        <v>141.01328000000001</v>
      </c>
      <c r="J12" s="4">
        <v>0</v>
      </c>
      <c r="K12" s="5">
        <v>13.9</v>
      </c>
      <c r="L12">
        <v>-60</v>
      </c>
      <c r="M12" s="2">
        <v>37.632946666666662</v>
      </c>
      <c r="N12" s="2">
        <v>141.01328000000001</v>
      </c>
      <c r="O12" s="4">
        <v>19.6312</v>
      </c>
      <c r="P12" s="5">
        <v>89.9</v>
      </c>
      <c r="Q12" s="2">
        <v>2.969195987687816</v>
      </c>
      <c r="R12" t="s">
        <v>137</v>
      </c>
    </row>
    <row r="13" spans="1:18" x14ac:dyDescent="0.7">
      <c r="A13">
        <v>52.5</v>
      </c>
      <c r="B13" s="3">
        <v>0.46777777777777779</v>
      </c>
      <c r="C13" s="2">
        <v>37.632953333333333</v>
      </c>
      <c r="D13" s="2">
        <v>141.01327166666667</v>
      </c>
      <c r="E13" s="4">
        <v>19.6312</v>
      </c>
      <c r="F13" s="5">
        <v>89.9</v>
      </c>
      <c r="G13">
        <v>-60</v>
      </c>
      <c r="H13" s="2">
        <v>37.632973333333332</v>
      </c>
      <c r="I13" s="2">
        <v>141.01328000000001</v>
      </c>
      <c r="J13" s="4">
        <v>0</v>
      </c>
      <c r="K13" s="5">
        <v>13.9</v>
      </c>
      <c r="L13">
        <v>-60</v>
      </c>
      <c r="M13" s="2">
        <v>37.632946666666662</v>
      </c>
      <c r="N13" s="2">
        <v>141.01328000000001</v>
      </c>
      <c r="O13" s="4">
        <v>19.6312</v>
      </c>
      <c r="P13" s="5">
        <v>89.9</v>
      </c>
      <c r="Q13" s="2">
        <v>2.969195987687816</v>
      </c>
      <c r="R13" t="s">
        <v>137</v>
      </c>
    </row>
    <row r="14" spans="1:18" x14ac:dyDescent="0.7">
      <c r="A14">
        <v>52.5</v>
      </c>
      <c r="B14" s="3">
        <v>0.46778935185185189</v>
      </c>
      <c r="C14" s="2">
        <v>37.632950000000001</v>
      </c>
      <c r="D14" s="2">
        <v>141.01333333333332</v>
      </c>
      <c r="E14" s="4">
        <v>19.6312</v>
      </c>
      <c r="F14" s="5">
        <v>90.4</v>
      </c>
      <c r="G14">
        <v>-63</v>
      </c>
      <c r="H14" s="2">
        <v>37.632973333333332</v>
      </c>
      <c r="I14" s="2">
        <v>141.01328000000001</v>
      </c>
      <c r="J14" s="4">
        <v>0</v>
      </c>
      <c r="K14" s="5">
        <v>13.9</v>
      </c>
      <c r="L14">
        <v>-73</v>
      </c>
      <c r="M14" s="2">
        <v>37.632946666666662</v>
      </c>
      <c r="N14" s="2">
        <v>141.01333333333332</v>
      </c>
      <c r="O14" s="4">
        <v>19.6312</v>
      </c>
      <c r="P14" s="5">
        <v>90.4</v>
      </c>
      <c r="Q14" s="2">
        <v>5.5605455891810838</v>
      </c>
      <c r="R14" t="s">
        <v>137</v>
      </c>
    </row>
    <row r="15" spans="1:18" x14ac:dyDescent="0.7">
      <c r="A15">
        <v>57.5</v>
      </c>
      <c r="B15" s="3">
        <v>0.46778935185185189</v>
      </c>
      <c r="C15" s="2">
        <v>37.632950000000001</v>
      </c>
      <c r="D15" s="2">
        <v>141.01333333333332</v>
      </c>
      <c r="E15" s="4">
        <v>19.6312</v>
      </c>
      <c r="F15" s="5">
        <v>90.4</v>
      </c>
      <c r="G15">
        <v>-63</v>
      </c>
      <c r="H15" s="2">
        <v>37.632973333333332</v>
      </c>
      <c r="I15" s="2">
        <v>141.01328000000001</v>
      </c>
      <c r="J15" s="4">
        <v>0</v>
      </c>
      <c r="K15" s="5">
        <v>13.9</v>
      </c>
      <c r="L15">
        <v>-73</v>
      </c>
      <c r="M15" s="2">
        <v>37.632946666666662</v>
      </c>
      <c r="N15" s="2">
        <v>141.01333333333332</v>
      </c>
      <c r="O15" s="4">
        <v>19.6312</v>
      </c>
      <c r="P15" s="5">
        <v>90.4</v>
      </c>
      <c r="Q15" s="2">
        <v>5.5605455891810838</v>
      </c>
      <c r="R15" t="s">
        <v>137</v>
      </c>
    </row>
    <row r="16" spans="1:18" x14ac:dyDescent="0.7">
      <c r="A16">
        <v>62.5</v>
      </c>
      <c r="B16" s="3">
        <v>0.46780092592592593</v>
      </c>
      <c r="C16" s="2">
        <v>37.632944999999999</v>
      </c>
      <c r="D16" s="2">
        <v>141.013395</v>
      </c>
      <c r="E16" s="4">
        <v>19.6312</v>
      </c>
      <c r="F16" s="5">
        <v>91.1</v>
      </c>
      <c r="G16">
        <v>-73</v>
      </c>
      <c r="H16" s="2">
        <v>37.632973333333332</v>
      </c>
      <c r="I16" s="2">
        <v>141.01328000000001</v>
      </c>
      <c r="J16" s="4">
        <v>0</v>
      </c>
      <c r="K16" s="5">
        <v>13.9</v>
      </c>
      <c r="L16">
        <v>-74</v>
      </c>
      <c r="M16" s="2">
        <v>37.632946666666662</v>
      </c>
      <c r="N16" s="2">
        <v>141.01338666666666</v>
      </c>
      <c r="O16" s="4">
        <v>19.6312</v>
      </c>
      <c r="P16" s="5">
        <v>91.1</v>
      </c>
      <c r="Q16" s="2">
        <v>9.8610003292168926</v>
      </c>
      <c r="R16" t="s">
        <v>137</v>
      </c>
    </row>
    <row r="17" spans="1:18" x14ac:dyDescent="0.7">
      <c r="A17">
        <v>67.5</v>
      </c>
      <c r="B17" s="3">
        <v>0.46781249999999996</v>
      </c>
      <c r="C17" s="2">
        <v>37.63294333333333</v>
      </c>
      <c r="D17" s="2">
        <v>141.01345666666666</v>
      </c>
      <c r="E17" s="4">
        <v>19.6312</v>
      </c>
      <c r="F17" s="5">
        <v>91.5</v>
      </c>
      <c r="G17">
        <v>-76</v>
      </c>
      <c r="H17" s="2">
        <v>37.632973333333332</v>
      </c>
      <c r="I17" s="2">
        <v>141.01328000000001</v>
      </c>
      <c r="J17" s="4">
        <v>0</v>
      </c>
      <c r="K17" s="5">
        <v>13.9</v>
      </c>
      <c r="L17">
        <v>-81</v>
      </c>
      <c r="M17" s="2">
        <v>37.632946666666662</v>
      </c>
      <c r="N17" s="2">
        <v>141.01344</v>
      </c>
      <c r="O17" s="4">
        <v>19.6312</v>
      </c>
      <c r="P17" s="5">
        <v>91.5</v>
      </c>
      <c r="Q17" s="2">
        <v>14.414406180060945</v>
      </c>
      <c r="R17" t="s">
        <v>137</v>
      </c>
    </row>
    <row r="18" spans="1:18" x14ac:dyDescent="0.7">
      <c r="A18">
        <v>67.5</v>
      </c>
      <c r="B18" s="3">
        <v>0.46782407407407406</v>
      </c>
      <c r="C18" s="2">
        <v>37.63294333333333</v>
      </c>
      <c r="D18" s="2">
        <v>141.01351500000001</v>
      </c>
      <c r="E18" s="4">
        <v>19.6312</v>
      </c>
      <c r="F18" s="5">
        <v>91.7</v>
      </c>
      <c r="G18">
        <v>-78</v>
      </c>
      <c r="H18" s="2">
        <v>37.632973333333332</v>
      </c>
      <c r="I18" s="2">
        <v>141.01328000000001</v>
      </c>
      <c r="J18" s="4">
        <v>0</v>
      </c>
      <c r="K18" s="5">
        <v>13.9</v>
      </c>
      <c r="L18">
        <v>-82</v>
      </c>
      <c r="M18" s="2">
        <v>37.632946666666662</v>
      </c>
      <c r="N18" s="2">
        <v>141.01352</v>
      </c>
      <c r="O18" s="4">
        <v>19.6312</v>
      </c>
      <c r="P18" s="5">
        <v>91.7</v>
      </c>
      <c r="Q18" s="2">
        <v>21.365353913416179</v>
      </c>
      <c r="R18" t="s">
        <v>137</v>
      </c>
    </row>
    <row r="19" spans="1:18" x14ac:dyDescent="0.7">
      <c r="A19">
        <v>72.5</v>
      </c>
      <c r="B19" s="3">
        <v>0.46782407407407406</v>
      </c>
      <c r="C19" s="2">
        <v>37.63294333333333</v>
      </c>
      <c r="D19" s="2">
        <v>141.01351500000001</v>
      </c>
      <c r="E19" s="4">
        <v>19.6312</v>
      </c>
      <c r="F19" s="5">
        <v>91.7</v>
      </c>
      <c r="G19">
        <v>-78</v>
      </c>
      <c r="H19" s="2">
        <v>37.632973333333332</v>
      </c>
      <c r="I19" s="2">
        <v>141.01328000000001</v>
      </c>
      <c r="J19" s="4">
        <v>0</v>
      </c>
      <c r="K19" s="5">
        <v>13.9</v>
      </c>
      <c r="L19">
        <v>-82</v>
      </c>
      <c r="M19" s="2">
        <v>37.632946666666662</v>
      </c>
      <c r="N19" s="2">
        <v>141.01352</v>
      </c>
      <c r="O19" s="4">
        <v>19.6312</v>
      </c>
      <c r="P19" s="5">
        <v>91.7</v>
      </c>
      <c r="Q19" s="2">
        <v>21.365353913416179</v>
      </c>
      <c r="R19" t="s">
        <v>137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520-D009-416B-9C1E-A4DA8AB47258}">
  <sheetPr codeName="Sheet173"/>
  <dimension ref="A1:R17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0.46908564814814818</v>
      </c>
      <c r="C2" s="2">
        <v>37.632955000000003</v>
      </c>
      <c r="D2" s="2">
        <v>141.01274166666664</v>
      </c>
      <c r="E2" s="4">
        <v>16.297600000000003</v>
      </c>
      <c r="F2" s="5">
        <v>91.1</v>
      </c>
      <c r="G2">
        <v>-67</v>
      </c>
      <c r="H2" s="2">
        <v>37.632966666666668</v>
      </c>
      <c r="I2" s="2">
        <v>141.01328000000001</v>
      </c>
      <c r="J2" s="4">
        <v>0</v>
      </c>
      <c r="K2" s="5">
        <v>13.9</v>
      </c>
      <c r="L2">
        <v>-64</v>
      </c>
      <c r="M2" s="2">
        <v>37.632953333333333</v>
      </c>
      <c r="N2" s="2">
        <v>141.01274666666669</v>
      </c>
      <c r="O2" s="4">
        <v>16.297599999999999</v>
      </c>
      <c r="P2" s="5">
        <v>91.1</v>
      </c>
      <c r="Q2" s="2">
        <v>47.041103244580661</v>
      </c>
      <c r="R2" t="s">
        <v>139</v>
      </c>
    </row>
    <row r="3" spans="1:18" x14ac:dyDescent="0.7">
      <c r="A3">
        <v>7.5</v>
      </c>
      <c r="B3" s="3">
        <v>0.46909722222222222</v>
      </c>
      <c r="C3" s="2">
        <v>37.632955000000003</v>
      </c>
      <c r="D3" s="2">
        <v>141.01280333333335</v>
      </c>
      <c r="E3" s="4">
        <v>18.8904</v>
      </c>
      <c r="F3" s="5">
        <v>90.9</v>
      </c>
      <c r="G3">
        <v>-64</v>
      </c>
      <c r="H3" s="2">
        <v>37.632966666666668</v>
      </c>
      <c r="I3" s="2">
        <v>141.01328000000001</v>
      </c>
      <c r="J3" s="4">
        <v>0</v>
      </c>
      <c r="K3" s="5">
        <v>13.9</v>
      </c>
      <c r="L3">
        <v>-61</v>
      </c>
      <c r="M3" s="2">
        <v>37.632953333333333</v>
      </c>
      <c r="N3" s="2">
        <v>141.0128</v>
      </c>
      <c r="O3" s="4">
        <v>18.8904</v>
      </c>
      <c r="P3" s="5">
        <v>90.9</v>
      </c>
      <c r="Q3" s="2">
        <v>42.34188065745262</v>
      </c>
      <c r="R3" t="s">
        <v>139</v>
      </c>
    </row>
    <row r="4" spans="1:18" x14ac:dyDescent="0.7">
      <c r="A4">
        <v>17.5</v>
      </c>
      <c r="B4" s="3">
        <v>0.46910879629629632</v>
      </c>
      <c r="C4" s="2">
        <v>37.632953333333333</v>
      </c>
      <c r="D4" s="2">
        <v>141.01286833333333</v>
      </c>
      <c r="E4" s="4">
        <v>20.186800000000002</v>
      </c>
      <c r="F4" s="5">
        <v>91.2</v>
      </c>
      <c r="G4">
        <v>-61</v>
      </c>
      <c r="H4" s="2">
        <v>37.632966666666668</v>
      </c>
      <c r="I4" s="2">
        <v>141.01328000000001</v>
      </c>
      <c r="J4" s="4">
        <v>0</v>
      </c>
      <c r="K4" s="5">
        <v>13.9</v>
      </c>
      <c r="L4">
        <v>-59</v>
      </c>
      <c r="M4" s="2">
        <v>37.632946666666662</v>
      </c>
      <c r="N4" s="2">
        <v>141.01285333333331</v>
      </c>
      <c r="O4" s="4">
        <v>20.186800000000002</v>
      </c>
      <c r="P4" s="5">
        <v>91.2</v>
      </c>
      <c r="Q4" s="2">
        <v>37.679908142531694</v>
      </c>
      <c r="R4" t="s">
        <v>139</v>
      </c>
    </row>
    <row r="5" spans="1:18" x14ac:dyDescent="0.7">
      <c r="A5">
        <v>17.5</v>
      </c>
      <c r="B5" s="3">
        <v>0.46912037037037035</v>
      </c>
      <c r="C5" s="2">
        <v>37.632953333333333</v>
      </c>
      <c r="D5" s="2">
        <v>141.01293333333334</v>
      </c>
      <c r="E5" s="4">
        <v>20.7424</v>
      </c>
      <c r="F5" s="5">
        <v>90.8</v>
      </c>
      <c r="G5">
        <v>-58</v>
      </c>
      <c r="H5" s="2">
        <v>37.632960000000004</v>
      </c>
      <c r="I5" s="2">
        <v>141.01328000000001</v>
      </c>
      <c r="J5" s="4">
        <v>0</v>
      </c>
      <c r="K5" s="5">
        <v>13.9</v>
      </c>
      <c r="L5">
        <v>-57</v>
      </c>
      <c r="M5" s="2">
        <v>37.632946666666662</v>
      </c>
      <c r="N5" s="2">
        <v>141.01293333333334</v>
      </c>
      <c r="O5" s="4">
        <v>20.7424</v>
      </c>
      <c r="P5" s="5">
        <v>90.8</v>
      </c>
      <c r="Q5" s="2">
        <v>30.597506734143469</v>
      </c>
      <c r="R5" t="s">
        <v>139</v>
      </c>
    </row>
    <row r="6" spans="1:18" x14ac:dyDescent="0.7">
      <c r="A6">
        <v>22.5</v>
      </c>
      <c r="B6" s="3">
        <v>0.46912037037037035</v>
      </c>
      <c r="C6" s="2">
        <v>37.632953333333333</v>
      </c>
      <c r="D6" s="2">
        <v>141.01293333333334</v>
      </c>
      <c r="E6" s="4">
        <v>20.7424</v>
      </c>
      <c r="F6" s="5">
        <v>90.8</v>
      </c>
      <c r="G6">
        <v>-58</v>
      </c>
      <c r="H6" s="2">
        <v>37.632960000000004</v>
      </c>
      <c r="I6" s="2">
        <v>141.01328000000001</v>
      </c>
      <c r="J6" s="4">
        <v>0</v>
      </c>
      <c r="K6" s="5">
        <v>13.9</v>
      </c>
      <c r="L6">
        <v>-57</v>
      </c>
      <c r="M6" s="2">
        <v>37.632946666666662</v>
      </c>
      <c r="N6" s="2">
        <v>141.01293333333334</v>
      </c>
      <c r="O6" s="4">
        <v>20.7424</v>
      </c>
      <c r="P6" s="5">
        <v>90.8</v>
      </c>
      <c r="Q6" s="2">
        <v>30.597506734143469</v>
      </c>
      <c r="R6" t="s">
        <v>139</v>
      </c>
    </row>
    <row r="7" spans="1:18" x14ac:dyDescent="0.7">
      <c r="A7">
        <v>27.5</v>
      </c>
      <c r="B7" s="3">
        <v>0.46913194444444445</v>
      </c>
      <c r="C7" s="2">
        <v>37.632951666666671</v>
      </c>
      <c r="D7" s="2">
        <v>141.01300000000001</v>
      </c>
      <c r="E7" s="4">
        <v>20.7424</v>
      </c>
      <c r="F7" s="5">
        <v>90.5</v>
      </c>
      <c r="G7">
        <v>-57</v>
      </c>
      <c r="H7" s="2">
        <v>37.632960000000004</v>
      </c>
      <c r="I7" s="2">
        <v>141.01328000000001</v>
      </c>
      <c r="J7" s="4">
        <v>0</v>
      </c>
      <c r="K7" s="5">
        <v>13.9</v>
      </c>
      <c r="L7">
        <v>-59</v>
      </c>
      <c r="M7" s="2">
        <v>37.632946666666662</v>
      </c>
      <c r="N7" s="2">
        <v>141.01301333333333</v>
      </c>
      <c r="O7" s="4">
        <v>20.7424</v>
      </c>
      <c r="P7" s="5">
        <v>90.5</v>
      </c>
      <c r="Q7" s="2">
        <v>23.555761257689049</v>
      </c>
      <c r="R7" t="s">
        <v>139</v>
      </c>
    </row>
    <row r="8" spans="1:18" x14ac:dyDescent="0.7">
      <c r="A8">
        <v>32.5</v>
      </c>
      <c r="B8" s="3">
        <v>0.46914351851851849</v>
      </c>
      <c r="C8" s="2">
        <v>37.632950000000001</v>
      </c>
      <c r="D8" s="2">
        <v>141.01306500000001</v>
      </c>
      <c r="E8" s="4">
        <v>20.372</v>
      </c>
      <c r="F8" s="5">
        <v>90.2</v>
      </c>
      <c r="G8">
        <v>-59</v>
      </c>
      <c r="H8" s="2">
        <v>37.632960000000004</v>
      </c>
      <c r="I8" s="2">
        <v>141.01328000000001</v>
      </c>
      <c r="J8" s="4">
        <v>0</v>
      </c>
      <c r="K8" s="5">
        <v>13.9</v>
      </c>
      <c r="L8">
        <v>-57</v>
      </c>
      <c r="M8" s="2">
        <v>37.632946666666662</v>
      </c>
      <c r="N8" s="2">
        <v>141.01306666666667</v>
      </c>
      <c r="O8" s="4">
        <v>20.372</v>
      </c>
      <c r="P8" s="5">
        <v>90.2</v>
      </c>
      <c r="Q8" s="2">
        <v>18.865707189440347</v>
      </c>
      <c r="R8" t="s">
        <v>139</v>
      </c>
    </row>
    <row r="9" spans="1:18" x14ac:dyDescent="0.7">
      <c r="A9">
        <v>37.5</v>
      </c>
      <c r="B9" s="3">
        <v>0.46915509259259264</v>
      </c>
      <c r="C9" s="2">
        <v>37.632950000000001</v>
      </c>
      <c r="D9" s="2">
        <v>141.013125</v>
      </c>
      <c r="E9" s="4">
        <v>18.8904</v>
      </c>
      <c r="F9" s="5">
        <v>90.2</v>
      </c>
      <c r="G9">
        <v>-58</v>
      </c>
      <c r="H9" s="2">
        <v>37.632960000000004</v>
      </c>
      <c r="I9" s="2">
        <v>141.01328000000001</v>
      </c>
      <c r="J9" s="4">
        <v>0</v>
      </c>
      <c r="K9" s="5">
        <v>13.9</v>
      </c>
      <c r="L9">
        <v>-47</v>
      </c>
      <c r="M9" s="2">
        <v>37.632946666666662</v>
      </c>
      <c r="N9" s="2">
        <v>141.01312000000001</v>
      </c>
      <c r="O9" s="4">
        <v>18.8904</v>
      </c>
      <c r="P9" s="5">
        <v>90.2</v>
      </c>
      <c r="Q9" s="2">
        <v>14.183194700909587</v>
      </c>
      <c r="R9" t="s">
        <v>139</v>
      </c>
    </row>
    <row r="10" spans="1:18" x14ac:dyDescent="0.7">
      <c r="A10">
        <v>42.5</v>
      </c>
      <c r="B10" s="3">
        <v>0.46916666666666668</v>
      </c>
      <c r="C10" s="2">
        <v>37.632951666666671</v>
      </c>
      <c r="D10" s="2">
        <v>141.01318166666667</v>
      </c>
      <c r="E10" s="4">
        <v>18.8904</v>
      </c>
      <c r="F10" s="5">
        <v>90.4</v>
      </c>
      <c r="G10">
        <v>-45</v>
      </c>
      <c r="H10" s="2">
        <v>37.632960000000004</v>
      </c>
      <c r="I10" s="2">
        <v>141.01328000000001</v>
      </c>
      <c r="J10" s="4">
        <v>0</v>
      </c>
      <c r="K10" s="5">
        <v>13.9</v>
      </c>
      <c r="L10">
        <v>-35</v>
      </c>
      <c r="M10" s="2">
        <v>37.632946666666662</v>
      </c>
      <c r="N10" s="2">
        <v>141.01319999999998</v>
      </c>
      <c r="O10" s="4">
        <v>18.8904</v>
      </c>
      <c r="P10" s="5">
        <v>90.4</v>
      </c>
      <c r="Q10" s="2">
        <v>7.2081430162853817</v>
      </c>
      <c r="R10" t="s">
        <v>139</v>
      </c>
    </row>
    <row r="11" spans="1:18" x14ac:dyDescent="0.7">
      <c r="A11">
        <v>42.5</v>
      </c>
      <c r="B11" s="3">
        <v>0.46917824074074077</v>
      </c>
      <c r="C11" s="2">
        <v>37.632951666666671</v>
      </c>
      <c r="D11" s="2">
        <v>141.01323833333333</v>
      </c>
      <c r="E11" s="4">
        <v>18.8904</v>
      </c>
      <c r="F11" s="5">
        <v>90.5</v>
      </c>
      <c r="G11">
        <v>-37</v>
      </c>
      <c r="H11" s="2">
        <v>37.632966666666668</v>
      </c>
      <c r="I11" s="2">
        <v>141.01328000000001</v>
      </c>
      <c r="J11" s="4">
        <v>0</v>
      </c>
      <c r="K11" s="5">
        <v>13.9</v>
      </c>
      <c r="L11">
        <v>-61</v>
      </c>
      <c r="M11" s="2">
        <v>37.632946666666662</v>
      </c>
      <c r="N11" s="2">
        <v>141.01322666666667</v>
      </c>
      <c r="O11" s="4">
        <v>18.8904</v>
      </c>
      <c r="P11" s="5">
        <v>90.5</v>
      </c>
      <c r="Q11" s="2">
        <v>5.2021738381375418</v>
      </c>
      <c r="R11" t="s">
        <v>139</v>
      </c>
    </row>
    <row r="12" spans="1:18" x14ac:dyDescent="0.7">
      <c r="A12">
        <v>47.5</v>
      </c>
      <c r="B12" s="3">
        <v>0.46917824074074077</v>
      </c>
      <c r="C12" s="2">
        <v>37.632951666666671</v>
      </c>
      <c r="D12" s="2">
        <v>141.01323833333333</v>
      </c>
      <c r="E12" s="4">
        <v>18.8904</v>
      </c>
      <c r="F12" s="5">
        <v>90.5</v>
      </c>
      <c r="G12">
        <v>-37</v>
      </c>
      <c r="H12" s="2">
        <v>37.632966666666668</v>
      </c>
      <c r="I12" s="2">
        <v>141.01328000000001</v>
      </c>
      <c r="J12" s="4">
        <v>0</v>
      </c>
      <c r="K12" s="5">
        <v>13.9</v>
      </c>
      <c r="L12">
        <v>-61</v>
      </c>
      <c r="M12" s="2">
        <v>37.632946666666662</v>
      </c>
      <c r="N12" s="2">
        <v>141.01322666666667</v>
      </c>
      <c r="O12" s="4">
        <v>18.8904</v>
      </c>
      <c r="P12" s="5">
        <v>90.5</v>
      </c>
      <c r="Q12" s="2">
        <v>5.2021738381375418</v>
      </c>
      <c r="R12" t="s">
        <v>139</v>
      </c>
    </row>
    <row r="13" spans="1:18" x14ac:dyDescent="0.7">
      <c r="A13">
        <v>52.5</v>
      </c>
      <c r="B13" s="3">
        <v>0.46918981481481481</v>
      </c>
      <c r="C13" s="2">
        <v>37.632953333333333</v>
      </c>
      <c r="D13" s="2">
        <v>141.013295</v>
      </c>
      <c r="E13" s="4">
        <v>18.8904</v>
      </c>
      <c r="F13" s="5">
        <v>90.7</v>
      </c>
      <c r="G13">
        <v>-68</v>
      </c>
      <c r="H13" s="2">
        <v>37.632966666666668</v>
      </c>
      <c r="I13" s="2">
        <v>141.01328000000001</v>
      </c>
      <c r="J13" s="4">
        <v>0</v>
      </c>
      <c r="K13" s="5">
        <v>13.9</v>
      </c>
      <c r="L13">
        <v>-70</v>
      </c>
      <c r="M13" s="2">
        <v>37.632946666666662</v>
      </c>
      <c r="N13" s="2">
        <v>141.01328000000001</v>
      </c>
      <c r="O13" s="4">
        <v>18.8904</v>
      </c>
      <c r="P13" s="5">
        <v>90.7</v>
      </c>
      <c r="Q13" s="2">
        <v>2.2248679273538512</v>
      </c>
      <c r="R13" t="s">
        <v>139</v>
      </c>
    </row>
    <row r="14" spans="1:18" x14ac:dyDescent="0.7">
      <c r="A14">
        <v>57.5</v>
      </c>
      <c r="B14" s="3">
        <v>0.4692013888888889</v>
      </c>
      <c r="C14" s="2">
        <v>37.632955000000003</v>
      </c>
      <c r="D14" s="2">
        <v>141.01334833333334</v>
      </c>
      <c r="E14" s="4">
        <v>18.8904</v>
      </c>
      <c r="F14" s="5">
        <v>90.8</v>
      </c>
      <c r="G14">
        <v>-68</v>
      </c>
      <c r="H14" s="2">
        <v>37.632966666666668</v>
      </c>
      <c r="I14" s="2">
        <v>141.01328000000001</v>
      </c>
      <c r="J14" s="4">
        <v>0</v>
      </c>
      <c r="K14" s="5">
        <v>13.9</v>
      </c>
      <c r="L14">
        <v>-73</v>
      </c>
      <c r="M14" s="2">
        <v>37.632953333333333</v>
      </c>
      <c r="N14" s="2">
        <v>141.01336000000001</v>
      </c>
      <c r="O14" s="4">
        <v>18.8904</v>
      </c>
      <c r="P14" s="5">
        <v>90.8</v>
      </c>
      <c r="Q14" s="2">
        <v>7.2068897538983716</v>
      </c>
      <c r="R14" t="s">
        <v>139</v>
      </c>
    </row>
    <row r="15" spans="1:18" x14ac:dyDescent="0.7">
      <c r="A15">
        <v>62.5</v>
      </c>
      <c r="B15" s="3">
        <v>0.46921296296296294</v>
      </c>
      <c r="C15" s="2">
        <v>37.632953333333333</v>
      </c>
      <c r="D15" s="2">
        <v>141.01340333333334</v>
      </c>
      <c r="E15" s="4">
        <v>18.705200000000001</v>
      </c>
      <c r="F15" s="5">
        <v>91.1</v>
      </c>
      <c r="G15">
        <v>-71</v>
      </c>
      <c r="H15" s="2">
        <v>37.632966666666668</v>
      </c>
      <c r="I15" s="2">
        <v>141.01328000000001</v>
      </c>
      <c r="J15" s="4">
        <v>0</v>
      </c>
      <c r="K15" s="5">
        <v>13.9</v>
      </c>
      <c r="L15">
        <v>-75</v>
      </c>
      <c r="M15" s="2">
        <v>37.632946666666662</v>
      </c>
      <c r="N15" s="2">
        <v>141.01338666666666</v>
      </c>
      <c r="O15" s="4">
        <v>18.705200000000001</v>
      </c>
      <c r="P15" s="5">
        <v>91.1</v>
      </c>
      <c r="Q15" s="2">
        <v>9.6634503616773682</v>
      </c>
      <c r="R15" t="s">
        <v>139</v>
      </c>
    </row>
    <row r="16" spans="1:18" x14ac:dyDescent="0.7">
      <c r="A16">
        <v>67.5</v>
      </c>
      <c r="B16" s="3">
        <v>0.46922453703703698</v>
      </c>
      <c r="C16" s="2">
        <v>37.632950000000001</v>
      </c>
      <c r="D16" s="2">
        <v>141.01346166666664</v>
      </c>
      <c r="E16" s="4">
        <v>17.779199999999999</v>
      </c>
      <c r="F16" s="5">
        <v>91.5</v>
      </c>
      <c r="G16">
        <v>-75</v>
      </c>
      <c r="H16" s="2">
        <v>37.632966666666668</v>
      </c>
      <c r="I16" s="2">
        <v>141.01328000000001</v>
      </c>
      <c r="J16" s="4">
        <v>0</v>
      </c>
      <c r="K16" s="5">
        <v>13.9</v>
      </c>
      <c r="L16">
        <v>-77</v>
      </c>
      <c r="M16" s="2">
        <v>37.632946666666662</v>
      </c>
      <c r="N16" s="2">
        <v>141.01344</v>
      </c>
      <c r="O16" s="4">
        <v>17.779199999999999</v>
      </c>
      <c r="P16" s="5">
        <v>91.5</v>
      </c>
      <c r="Q16" s="2">
        <v>14.279671494553391</v>
      </c>
      <c r="R16" t="s">
        <v>139</v>
      </c>
    </row>
    <row r="17" spans="1:18" x14ac:dyDescent="0.7">
      <c r="A17">
        <v>67.5</v>
      </c>
      <c r="B17" s="3">
        <v>0.46923611111111113</v>
      </c>
      <c r="C17" s="2">
        <v>37.632948333333339</v>
      </c>
      <c r="D17" s="2">
        <v>141.01351833333334</v>
      </c>
      <c r="E17" s="4">
        <v>17.779199999999999</v>
      </c>
      <c r="F17" s="5">
        <v>91.5</v>
      </c>
      <c r="G17">
        <v>-79</v>
      </c>
      <c r="H17" s="2">
        <v>37.632966666666668</v>
      </c>
      <c r="I17" s="2">
        <v>141.01328000000001</v>
      </c>
      <c r="J17" s="4">
        <v>0</v>
      </c>
      <c r="K17" s="5">
        <v>13.9</v>
      </c>
      <c r="L17">
        <v>-82</v>
      </c>
      <c r="M17" s="2">
        <v>37.632946666666662</v>
      </c>
      <c r="N17" s="2">
        <v>141.01352</v>
      </c>
      <c r="O17" s="4">
        <v>17.779199999999999</v>
      </c>
      <c r="P17" s="5">
        <v>91.5</v>
      </c>
      <c r="Q17" s="2">
        <v>21.274898195746761</v>
      </c>
      <c r="R17" t="s">
        <v>139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DFCFD-DB57-4149-AC17-F8418DE63575}">
  <sheetPr codeName="Sheet174"/>
  <dimension ref="A1:R12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0.47175925925925927</v>
      </c>
      <c r="C2" s="2">
        <v>37.632961666666667</v>
      </c>
      <c r="D2" s="2">
        <v>141.01272833333331</v>
      </c>
      <c r="E2" s="4">
        <v>28.706000000000003</v>
      </c>
      <c r="F2" s="5">
        <v>90.7</v>
      </c>
      <c r="G2">
        <v>-60</v>
      </c>
      <c r="H2" s="2">
        <v>37.632960000000004</v>
      </c>
      <c r="I2" s="2">
        <v>141.01328000000001</v>
      </c>
      <c r="J2" s="4">
        <v>0</v>
      </c>
      <c r="K2" s="5">
        <v>13.9</v>
      </c>
      <c r="L2">
        <v>-59</v>
      </c>
      <c r="M2" s="2">
        <v>37.632960000000004</v>
      </c>
      <c r="N2" s="2">
        <v>141.01272</v>
      </c>
      <c r="O2" s="4">
        <v>28.706000000000003</v>
      </c>
      <c r="P2" s="5">
        <v>90.7</v>
      </c>
      <c r="Q2" s="2">
        <v>49.368532793187129</v>
      </c>
      <c r="R2" t="s">
        <v>141</v>
      </c>
    </row>
    <row r="3" spans="1:18" x14ac:dyDescent="0.7">
      <c r="A3">
        <v>7.5</v>
      </c>
      <c r="B3" s="3">
        <v>0.47177083333333331</v>
      </c>
      <c r="C3" s="2">
        <v>37.632960000000004</v>
      </c>
      <c r="D3" s="2">
        <v>141.01279666666667</v>
      </c>
      <c r="E3" s="4">
        <v>32.224800000000002</v>
      </c>
      <c r="F3" s="5">
        <v>90.9</v>
      </c>
      <c r="G3">
        <v>-59</v>
      </c>
      <c r="H3" s="2">
        <v>37.632966666666668</v>
      </c>
      <c r="I3" s="2">
        <v>141.01328000000001</v>
      </c>
      <c r="J3" s="4">
        <v>0</v>
      </c>
      <c r="K3" s="5">
        <v>13.9</v>
      </c>
      <c r="L3">
        <v>-58</v>
      </c>
      <c r="M3" s="2">
        <v>37.632960000000004</v>
      </c>
      <c r="N3" s="2">
        <v>141.0128</v>
      </c>
      <c r="O3" s="4">
        <v>32.224800000000002</v>
      </c>
      <c r="P3" s="5">
        <v>90.9</v>
      </c>
      <c r="Q3" s="2">
        <v>42.322462913713508</v>
      </c>
      <c r="R3" t="s">
        <v>141</v>
      </c>
    </row>
    <row r="4" spans="1:18" x14ac:dyDescent="0.7">
      <c r="A4">
        <v>12.5</v>
      </c>
      <c r="B4" s="3">
        <v>0.47178240740740746</v>
      </c>
      <c r="C4" s="2">
        <v>37.632960000000004</v>
      </c>
      <c r="D4" s="2">
        <v>141.01288000000002</v>
      </c>
      <c r="E4" s="4">
        <v>34.076799999999999</v>
      </c>
      <c r="F4" s="5">
        <v>90.9</v>
      </c>
      <c r="G4">
        <v>-55</v>
      </c>
      <c r="H4" s="2">
        <v>37.632966666666668</v>
      </c>
      <c r="I4" s="2">
        <v>141.01328000000001</v>
      </c>
      <c r="J4" s="4">
        <v>0</v>
      </c>
      <c r="K4" s="5">
        <v>13.9</v>
      </c>
      <c r="L4">
        <v>-47</v>
      </c>
      <c r="M4" s="2">
        <v>37.632960000000004</v>
      </c>
      <c r="N4" s="2">
        <v>141.01285333333331</v>
      </c>
      <c r="O4" s="4">
        <v>34.076799999999999</v>
      </c>
      <c r="P4" s="5">
        <v>90.9</v>
      </c>
      <c r="Q4" s="2">
        <v>37.621369130078975</v>
      </c>
      <c r="R4" t="s">
        <v>141</v>
      </c>
    </row>
    <row r="5" spans="1:18" x14ac:dyDescent="0.7">
      <c r="A5">
        <v>17.5</v>
      </c>
      <c r="B5" s="3">
        <v>0.47178240740740746</v>
      </c>
      <c r="C5" s="2">
        <v>37.632960000000004</v>
      </c>
      <c r="D5" s="2">
        <v>141.01288000000002</v>
      </c>
      <c r="E5" s="4">
        <v>34.076799999999999</v>
      </c>
      <c r="F5" s="5">
        <v>90.9</v>
      </c>
      <c r="G5">
        <v>-55</v>
      </c>
      <c r="H5" s="2">
        <v>37.632966666666668</v>
      </c>
      <c r="I5" s="2">
        <v>141.01328000000001</v>
      </c>
      <c r="J5" s="4">
        <v>0</v>
      </c>
      <c r="K5" s="5">
        <v>13.9</v>
      </c>
      <c r="L5">
        <v>-47</v>
      </c>
      <c r="M5" s="2">
        <v>37.632960000000004</v>
      </c>
      <c r="N5" s="2">
        <v>141.01285333333331</v>
      </c>
      <c r="O5" s="4">
        <v>34.076799999999999</v>
      </c>
      <c r="P5" s="5">
        <v>90.9</v>
      </c>
      <c r="Q5" s="2">
        <v>37.621369130078975</v>
      </c>
      <c r="R5" t="s">
        <v>141</v>
      </c>
    </row>
    <row r="6" spans="1:18" x14ac:dyDescent="0.7">
      <c r="A6">
        <v>22.5</v>
      </c>
      <c r="B6" s="3">
        <v>0.47179398148148149</v>
      </c>
      <c r="C6" s="2">
        <v>37.632958333333335</v>
      </c>
      <c r="D6" s="2">
        <v>141.01297833333334</v>
      </c>
      <c r="E6" s="4">
        <v>36.669600000000003</v>
      </c>
      <c r="F6" s="5">
        <v>90.9</v>
      </c>
      <c r="G6">
        <v>-54</v>
      </c>
      <c r="H6" s="2">
        <v>37.632966666666668</v>
      </c>
      <c r="I6" s="2">
        <v>141.01328000000001</v>
      </c>
      <c r="J6" s="4">
        <v>0</v>
      </c>
      <c r="K6" s="5">
        <v>13.9</v>
      </c>
      <c r="L6">
        <v>-77</v>
      </c>
      <c r="M6" s="2">
        <v>37.632953333333333</v>
      </c>
      <c r="N6" s="2">
        <v>141.01295999999999</v>
      </c>
      <c r="O6" s="4">
        <v>36.669600000000003</v>
      </c>
      <c r="P6" s="5">
        <v>90.9</v>
      </c>
      <c r="Q6" s="2">
        <v>28.249600953647974</v>
      </c>
      <c r="R6" t="s">
        <v>141</v>
      </c>
    </row>
    <row r="7" spans="1:18" x14ac:dyDescent="0.7">
      <c r="A7">
        <v>27.5</v>
      </c>
      <c r="B7" s="3">
        <v>0.47179398148148149</v>
      </c>
      <c r="C7" s="2">
        <v>37.632958333333335</v>
      </c>
      <c r="D7" s="2">
        <v>141.01297833333334</v>
      </c>
      <c r="E7" s="4">
        <v>36.669600000000003</v>
      </c>
      <c r="F7" s="5">
        <v>90.9</v>
      </c>
      <c r="G7">
        <v>-54</v>
      </c>
      <c r="H7" s="2">
        <v>37.632966666666668</v>
      </c>
      <c r="I7" s="2">
        <v>141.01328000000001</v>
      </c>
      <c r="J7" s="4">
        <v>0</v>
      </c>
      <c r="K7" s="5">
        <v>13.9</v>
      </c>
      <c r="L7">
        <v>-77</v>
      </c>
      <c r="M7" s="2">
        <v>37.632953333333333</v>
      </c>
      <c r="N7" s="2">
        <v>141.01295999999999</v>
      </c>
      <c r="O7" s="4">
        <v>36.669600000000003</v>
      </c>
      <c r="P7" s="5">
        <v>90.9</v>
      </c>
      <c r="Q7" s="2">
        <v>28.249600953647974</v>
      </c>
      <c r="R7" t="s">
        <v>141</v>
      </c>
    </row>
    <row r="8" spans="1:18" x14ac:dyDescent="0.7">
      <c r="A8">
        <v>32.5</v>
      </c>
      <c r="B8" s="3">
        <v>0.47180555555555559</v>
      </c>
      <c r="C8" s="2">
        <v>37.632958333333335</v>
      </c>
      <c r="D8" s="2">
        <v>141.01308833333331</v>
      </c>
      <c r="E8" s="4">
        <v>40.188400000000001</v>
      </c>
      <c r="F8" s="5">
        <v>90.7</v>
      </c>
      <c r="G8">
        <v>-78</v>
      </c>
      <c r="H8" s="2">
        <v>37.632966666666668</v>
      </c>
      <c r="I8" s="2">
        <v>141.01328000000001</v>
      </c>
      <c r="J8" s="4">
        <v>0</v>
      </c>
      <c r="K8" s="5">
        <v>13.9</v>
      </c>
      <c r="L8">
        <v>-82</v>
      </c>
      <c r="M8" s="2">
        <v>37.632953333333333</v>
      </c>
      <c r="N8" s="2">
        <v>141.01309333333333</v>
      </c>
      <c r="O8" s="4">
        <v>40.188400000000001</v>
      </c>
      <c r="P8" s="5">
        <v>90.7</v>
      </c>
      <c r="Q8" s="2">
        <v>16.523038945254488</v>
      </c>
      <c r="R8" t="s">
        <v>141</v>
      </c>
    </row>
    <row r="9" spans="1:18" x14ac:dyDescent="0.7">
      <c r="A9">
        <v>37.5</v>
      </c>
      <c r="B9" s="3">
        <v>0.47180555555555559</v>
      </c>
      <c r="C9" s="2">
        <v>37.632958333333335</v>
      </c>
      <c r="D9" s="2">
        <v>141.01308833333331</v>
      </c>
      <c r="E9" s="4">
        <v>40.188400000000001</v>
      </c>
      <c r="F9" s="5">
        <v>90.7</v>
      </c>
      <c r="G9">
        <v>-78</v>
      </c>
      <c r="H9" s="2">
        <v>37.632966666666668</v>
      </c>
      <c r="I9" s="2">
        <v>141.01328000000001</v>
      </c>
      <c r="J9" s="4">
        <v>0</v>
      </c>
      <c r="K9" s="5">
        <v>13.9</v>
      </c>
      <c r="L9">
        <v>-82</v>
      </c>
      <c r="M9" s="2">
        <v>37.632953333333333</v>
      </c>
      <c r="N9" s="2">
        <v>141.01309333333333</v>
      </c>
      <c r="O9" s="4">
        <v>40.188400000000001</v>
      </c>
      <c r="P9" s="5">
        <v>90.7</v>
      </c>
      <c r="Q9" s="2">
        <v>16.523038945254488</v>
      </c>
      <c r="R9" t="s">
        <v>141</v>
      </c>
    </row>
    <row r="10" spans="1:18" x14ac:dyDescent="0.7">
      <c r="A10">
        <v>42.5</v>
      </c>
      <c r="B10" s="3">
        <v>0.47181712962962963</v>
      </c>
      <c r="C10" s="2">
        <v>37.632956666666672</v>
      </c>
      <c r="D10" s="2">
        <v>141.01321000000002</v>
      </c>
      <c r="E10" s="4">
        <v>42.596000000000004</v>
      </c>
      <c r="F10" s="5">
        <v>90.8</v>
      </c>
      <c r="G10">
        <v>-84</v>
      </c>
      <c r="H10" s="2">
        <v>37.632973333333332</v>
      </c>
      <c r="I10" s="2">
        <v>141.01328000000001</v>
      </c>
      <c r="J10" s="4">
        <v>0</v>
      </c>
      <c r="K10" s="5">
        <v>13.9</v>
      </c>
      <c r="L10">
        <v>-85</v>
      </c>
      <c r="M10" s="2">
        <v>37.632953333333333</v>
      </c>
      <c r="N10" s="2">
        <v>141.01319999999998</v>
      </c>
      <c r="O10" s="4">
        <v>42.596000000000004</v>
      </c>
      <c r="P10" s="5">
        <v>90.8</v>
      </c>
      <c r="Q10" s="2">
        <v>7.3961700786524176</v>
      </c>
      <c r="R10" t="s">
        <v>141</v>
      </c>
    </row>
    <row r="11" spans="1:18" x14ac:dyDescent="0.7">
      <c r="A11">
        <v>52.5</v>
      </c>
      <c r="B11" s="3">
        <v>0.47182870370370367</v>
      </c>
      <c r="C11" s="2">
        <v>37.632953333333333</v>
      </c>
      <c r="D11" s="2">
        <v>141.01333000000002</v>
      </c>
      <c r="E11" s="4">
        <v>42.596000000000004</v>
      </c>
      <c r="F11" s="5">
        <v>91</v>
      </c>
      <c r="G11">
        <v>-88</v>
      </c>
      <c r="H11" s="2">
        <v>37.632973333333332</v>
      </c>
      <c r="I11" s="2">
        <v>141.01328000000001</v>
      </c>
      <c r="J11" s="4">
        <v>0</v>
      </c>
      <c r="K11" s="5">
        <v>13.9</v>
      </c>
      <c r="L11">
        <v>-92</v>
      </c>
      <c r="M11" s="2">
        <v>37.632946666666662</v>
      </c>
      <c r="N11" s="2">
        <v>141.01333333333332</v>
      </c>
      <c r="O11" s="4">
        <v>42.596000000000004</v>
      </c>
      <c r="P11" s="5">
        <v>91</v>
      </c>
      <c r="Q11" s="2">
        <v>5.5605455891810838</v>
      </c>
      <c r="R11" t="s">
        <v>141</v>
      </c>
    </row>
    <row r="12" spans="1:18" x14ac:dyDescent="0.7">
      <c r="A12">
        <v>57.5</v>
      </c>
      <c r="B12" s="3">
        <v>0.47182870370370367</v>
      </c>
      <c r="C12" s="2">
        <v>37.632953333333333</v>
      </c>
      <c r="D12" s="2">
        <v>141.01333000000002</v>
      </c>
      <c r="E12" s="4">
        <v>42.596000000000004</v>
      </c>
      <c r="F12" s="5">
        <v>91</v>
      </c>
      <c r="G12">
        <v>-88</v>
      </c>
      <c r="H12" s="2">
        <v>37.632973333333332</v>
      </c>
      <c r="I12" s="2">
        <v>141.01328000000001</v>
      </c>
      <c r="J12" s="4">
        <v>0</v>
      </c>
      <c r="K12" s="5">
        <v>13.9</v>
      </c>
      <c r="L12">
        <v>-92</v>
      </c>
      <c r="M12" s="2">
        <v>37.632946666666662</v>
      </c>
      <c r="N12" s="2">
        <v>141.01333333333332</v>
      </c>
      <c r="O12" s="4">
        <v>42.596000000000004</v>
      </c>
      <c r="P12" s="5">
        <v>91</v>
      </c>
      <c r="Q12" s="2">
        <v>5.5605455891810838</v>
      </c>
      <c r="R12" t="s">
        <v>141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4460-A96A-4865-AB22-D6457D96A664}">
  <sheetPr codeName="Sheet175"/>
  <dimension ref="A1:R20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7.5</v>
      </c>
      <c r="B2" s="3">
        <v>0.49828703703703708</v>
      </c>
      <c r="C2" s="2">
        <v>37.63297166666667</v>
      </c>
      <c r="D2" s="2">
        <v>141.012775</v>
      </c>
      <c r="E2" s="4">
        <v>13.704800000000001</v>
      </c>
      <c r="F2" s="5">
        <v>91.4</v>
      </c>
      <c r="G2">
        <v>-72</v>
      </c>
      <c r="H2" s="2">
        <v>37.632946666666662</v>
      </c>
      <c r="I2" s="2">
        <v>141.01373333333333</v>
      </c>
      <c r="J2" s="4">
        <v>0</v>
      </c>
      <c r="K2" s="5">
        <v>0</v>
      </c>
      <c r="L2">
        <v>-74</v>
      </c>
      <c r="M2" s="2">
        <v>37.632973333333332</v>
      </c>
      <c r="N2" s="2">
        <v>141.01277333333334</v>
      </c>
      <c r="O2" s="4">
        <v>13.704800000000001</v>
      </c>
      <c r="P2" s="5">
        <v>91.4</v>
      </c>
      <c r="Q2" s="2">
        <v>84.683921315008561</v>
      </c>
      <c r="R2" t="s">
        <v>143</v>
      </c>
    </row>
    <row r="3" spans="1:18" x14ac:dyDescent="0.7">
      <c r="A3">
        <v>7.5</v>
      </c>
      <c r="B3" s="3">
        <v>0.49829861111111112</v>
      </c>
      <c r="C3" s="2">
        <v>37.63297</v>
      </c>
      <c r="D3" s="2">
        <v>141.01281666666668</v>
      </c>
      <c r="E3" s="4">
        <v>13.704800000000001</v>
      </c>
      <c r="F3" s="5">
        <v>90.9</v>
      </c>
      <c r="G3">
        <v>-72</v>
      </c>
      <c r="H3" s="2">
        <v>37.632946666666662</v>
      </c>
      <c r="I3" s="2">
        <v>141.01373333333333</v>
      </c>
      <c r="J3" s="4">
        <v>0</v>
      </c>
      <c r="K3" s="5">
        <v>0</v>
      </c>
      <c r="L3">
        <v>-74</v>
      </c>
      <c r="M3" s="2">
        <v>37.632973333333332</v>
      </c>
      <c r="N3" s="2">
        <v>141.01282666666665</v>
      </c>
      <c r="O3" s="4">
        <v>13.704800000000001</v>
      </c>
      <c r="P3" s="5">
        <v>90.9</v>
      </c>
      <c r="Q3" s="2">
        <v>79.98521206484989</v>
      </c>
      <c r="R3" t="s">
        <v>143</v>
      </c>
    </row>
    <row r="4" spans="1:18" x14ac:dyDescent="0.7">
      <c r="A4">
        <v>12.5</v>
      </c>
      <c r="B4" s="3">
        <v>0.49831018518518522</v>
      </c>
      <c r="C4" s="2">
        <v>37.63297</v>
      </c>
      <c r="D4" s="2">
        <v>141.01285666666666</v>
      </c>
      <c r="E4" s="4">
        <v>12.964</v>
      </c>
      <c r="F4" s="5">
        <v>90.6</v>
      </c>
      <c r="G4">
        <v>-72</v>
      </c>
      <c r="H4" s="2">
        <v>37.632946666666662</v>
      </c>
      <c r="I4" s="2">
        <v>141.01373333333333</v>
      </c>
      <c r="J4" s="4">
        <v>0</v>
      </c>
      <c r="K4" s="5">
        <v>0</v>
      </c>
      <c r="L4">
        <v>-73</v>
      </c>
      <c r="M4" s="2">
        <v>37.632973333333332</v>
      </c>
      <c r="N4" s="2">
        <v>141.01285333333331</v>
      </c>
      <c r="O4" s="4">
        <v>12.964</v>
      </c>
      <c r="P4" s="5">
        <v>90.6</v>
      </c>
      <c r="Q4" s="2">
        <v>77.635995993181098</v>
      </c>
      <c r="R4" t="s">
        <v>143</v>
      </c>
    </row>
    <row r="5" spans="1:18" x14ac:dyDescent="0.7">
      <c r="A5">
        <v>17.5</v>
      </c>
      <c r="B5" s="3">
        <v>0.49832175925925926</v>
      </c>
      <c r="C5" s="2">
        <v>37.632968333333331</v>
      </c>
      <c r="D5" s="2">
        <v>141.01289833333334</v>
      </c>
      <c r="E5" s="4">
        <v>12.5936</v>
      </c>
      <c r="F5" s="5">
        <v>90.6</v>
      </c>
      <c r="G5">
        <v>-73</v>
      </c>
      <c r="H5" s="2">
        <v>37.632946666666662</v>
      </c>
      <c r="I5" s="2">
        <v>141.01373333333333</v>
      </c>
      <c r="J5" s="4">
        <v>0</v>
      </c>
      <c r="K5" s="5">
        <v>0</v>
      </c>
      <c r="L5">
        <v>-75</v>
      </c>
      <c r="M5" s="2">
        <v>37.632966666666668</v>
      </c>
      <c r="N5" s="2">
        <v>141.01290666666668</v>
      </c>
      <c r="O5" s="4">
        <v>12.5936</v>
      </c>
      <c r="P5" s="5">
        <v>90.6</v>
      </c>
      <c r="Q5" s="2">
        <v>72.911378166597132</v>
      </c>
      <c r="R5" t="s">
        <v>143</v>
      </c>
    </row>
    <row r="6" spans="1:18" x14ac:dyDescent="0.7">
      <c r="A6">
        <v>22.5</v>
      </c>
      <c r="B6" s="3">
        <v>0.49833333333333335</v>
      </c>
      <c r="C6" s="2">
        <v>37.632966666666668</v>
      </c>
      <c r="D6" s="2">
        <v>141.01294333333331</v>
      </c>
      <c r="E6" s="4">
        <v>12.778800000000002</v>
      </c>
      <c r="F6" s="5">
        <v>90.7</v>
      </c>
      <c r="G6">
        <v>-73</v>
      </c>
      <c r="H6" s="2">
        <v>37.632946666666662</v>
      </c>
      <c r="I6" s="2">
        <v>141.01373333333333</v>
      </c>
      <c r="J6" s="4">
        <v>0</v>
      </c>
      <c r="K6" s="5">
        <v>0</v>
      </c>
      <c r="L6">
        <v>-69</v>
      </c>
      <c r="M6" s="2">
        <v>37.632966666666668</v>
      </c>
      <c r="N6" s="2">
        <v>141.01293333333334</v>
      </c>
      <c r="O6" s="4">
        <v>12.7788</v>
      </c>
      <c r="P6" s="5">
        <v>90.7</v>
      </c>
      <c r="Q6" s="2">
        <v>70.561622862176762</v>
      </c>
      <c r="R6" t="s">
        <v>143</v>
      </c>
    </row>
    <row r="7" spans="1:18" x14ac:dyDescent="0.7">
      <c r="A7">
        <v>22.5</v>
      </c>
      <c r="B7" s="3">
        <v>0.49834490740740739</v>
      </c>
      <c r="C7" s="2">
        <v>37.632963333333336</v>
      </c>
      <c r="D7" s="2">
        <v>141.01298499999999</v>
      </c>
      <c r="E7" s="4">
        <v>12.778800000000002</v>
      </c>
      <c r="F7" s="5">
        <v>91</v>
      </c>
      <c r="G7">
        <v>-72</v>
      </c>
      <c r="H7" s="2">
        <v>37.632946666666662</v>
      </c>
      <c r="I7" s="2">
        <v>141.01373333333333</v>
      </c>
      <c r="J7" s="4">
        <v>0</v>
      </c>
      <c r="K7" s="5">
        <v>0</v>
      </c>
      <c r="L7">
        <v>-72</v>
      </c>
      <c r="M7" s="2">
        <v>37.632960000000004</v>
      </c>
      <c r="N7" s="2">
        <v>141.01298666666668</v>
      </c>
      <c r="O7" s="4">
        <v>12.7788</v>
      </c>
      <c r="P7" s="5">
        <v>91</v>
      </c>
      <c r="Q7" s="2">
        <v>65.841571881765304</v>
      </c>
      <c r="R7" t="s">
        <v>143</v>
      </c>
    </row>
    <row r="8" spans="1:18" x14ac:dyDescent="0.7">
      <c r="A8">
        <v>27.5</v>
      </c>
      <c r="B8" s="3">
        <v>0.49834490740740739</v>
      </c>
      <c r="C8" s="2">
        <v>37.632963333333336</v>
      </c>
      <c r="D8" s="2">
        <v>141.01298499999999</v>
      </c>
      <c r="E8" s="4">
        <v>12.778800000000002</v>
      </c>
      <c r="F8" s="5">
        <v>91</v>
      </c>
      <c r="G8">
        <v>-72</v>
      </c>
      <c r="H8" s="2">
        <v>37.632946666666662</v>
      </c>
      <c r="I8" s="2">
        <v>141.01373333333333</v>
      </c>
      <c r="J8" s="4">
        <v>0</v>
      </c>
      <c r="K8" s="5">
        <v>0</v>
      </c>
      <c r="L8">
        <v>-72</v>
      </c>
      <c r="M8" s="2">
        <v>37.632960000000004</v>
      </c>
      <c r="N8" s="2">
        <v>141.01298666666668</v>
      </c>
      <c r="O8" s="4">
        <v>12.7788</v>
      </c>
      <c r="P8" s="5">
        <v>91</v>
      </c>
      <c r="Q8" s="2">
        <v>65.841571881765304</v>
      </c>
      <c r="R8" t="s">
        <v>143</v>
      </c>
    </row>
    <row r="9" spans="1:18" x14ac:dyDescent="0.7">
      <c r="A9">
        <v>27.5</v>
      </c>
      <c r="B9" s="3">
        <v>0.49835648148148143</v>
      </c>
      <c r="C9" s="2">
        <v>37.632961666666667</v>
      </c>
      <c r="D9" s="2">
        <v>141.01303000000001</v>
      </c>
      <c r="E9" s="4">
        <v>12.964</v>
      </c>
      <c r="F9" s="5">
        <v>91.4</v>
      </c>
      <c r="G9">
        <v>-73</v>
      </c>
      <c r="H9" s="2">
        <v>37.632946666666662</v>
      </c>
      <c r="I9" s="2">
        <v>141.01375999999999</v>
      </c>
      <c r="J9" s="4">
        <v>0</v>
      </c>
      <c r="K9" s="5">
        <v>0</v>
      </c>
      <c r="L9">
        <v>-67</v>
      </c>
      <c r="M9" s="2">
        <v>37.632960000000004</v>
      </c>
      <c r="N9" s="2">
        <v>141.01301333333333</v>
      </c>
      <c r="O9" s="4">
        <v>12.964</v>
      </c>
      <c r="P9" s="5">
        <v>91.4</v>
      </c>
      <c r="Q9" s="2">
        <v>65.841571881765304</v>
      </c>
      <c r="R9" t="s">
        <v>143</v>
      </c>
    </row>
    <row r="10" spans="1:18" x14ac:dyDescent="0.7">
      <c r="A10">
        <v>32.5</v>
      </c>
      <c r="B10" s="3">
        <v>0.49836805555555558</v>
      </c>
      <c r="C10" s="2">
        <v>37.632958333333335</v>
      </c>
      <c r="D10" s="2">
        <v>141.01307333333335</v>
      </c>
      <c r="E10" s="4">
        <v>12.964</v>
      </c>
      <c r="F10" s="5">
        <v>91.7</v>
      </c>
      <c r="G10">
        <v>-72</v>
      </c>
      <c r="H10" s="2">
        <v>37.632946666666662</v>
      </c>
      <c r="I10" s="2">
        <v>141.01375999999999</v>
      </c>
      <c r="J10" s="4">
        <v>0</v>
      </c>
      <c r="K10" s="5">
        <v>0</v>
      </c>
      <c r="L10">
        <v>-67</v>
      </c>
      <c r="M10" s="2">
        <v>37.632953333333333</v>
      </c>
      <c r="N10" s="2">
        <v>141.01306666666667</v>
      </c>
      <c r="O10" s="4">
        <v>12.964</v>
      </c>
      <c r="P10" s="5">
        <v>91.7</v>
      </c>
      <c r="Q10" s="2">
        <v>61.127519083955576</v>
      </c>
      <c r="R10" t="s">
        <v>143</v>
      </c>
    </row>
    <row r="11" spans="1:18" x14ac:dyDescent="0.7">
      <c r="A11">
        <v>37.5</v>
      </c>
      <c r="B11" s="3">
        <v>0.49837962962962962</v>
      </c>
      <c r="C11" s="2">
        <v>37.632956666666672</v>
      </c>
      <c r="D11" s="2">
        <v>141.01311666666666</v>
      </c>
      <c r="E11" s="4">
        <v>13.1492</v>
      </c>
      <c r="F11" s="5">
        <v>91.5</v>
      </c>
      <c r="G11">
        <v>-73</v>
      </c>
      <c r="H11" s="2">
        <v>37.632946666666662</v>
      </c>
      <c r="I11" s="2">
        <v>141.01375999999999</v>
      </c>
      <c r="J11" s="4">
        <v>0</v>
      </c>
      <c r="K11" s="5">
        <v>0</v>
      </c>
      <c r="L11">
        <v>-63</v>
      </c>
      <c r="M11" s="2">
        <v>37.632953333333333</v>
      </c>
      <c r="N11" s="2">
        <v>141.01312000000001</v>
      </c>
      <c r="O11" s="4">
        <v>13.1492</v>
      </c>
      <c r="P11" s="5">
        <v>91.5</v>
      </c>
      <c r="Q11" s="2">
        <v>56.426170924006087</v>
      </c>
      <c r="R11" t="s">
        <v>143</v>
      </c>
    </row>
    <row r="12" spans="1:18" x14ac:dyDescent="0.7">
      <c r="A12">
        <v>37.5</v>
      </c>
      <c r="B12" s="3">
        <v>0.49839120370370371</v>
      </c>
      <c r="C12" s="2">
        <v>37.632955000000003</v>
      </c>
      <c r="D12" s="2">
        <v>141.01316166666666</v>
      </c>
      <c r="E12" s="4">
        <v>13.1492</v>
      </c>
      <c r="F12" s="5">
        <v>91.2</v>
      </c>
      <c r="G12">
        <v>-76</v>
      </c>
      <c r="H12" s="2">
        <v>37.632946666666662</v>
      </c>
      <c r="I12" s="2">
        <v>141.01375999999999</v>
      </c>
      <c r="J12" s="4">
        <v>0</v>
      </c>
      <c r="K12" s="5">
        <v>0</v>
      </c>
      <c r="L12">
        <v>-62</v>
      </c>
      <c r="M12" s="2">
        <v>37.632953333333333</v>
      </c>
      <c r="N12" s="2">
        <v>141.01314666666667</v>
      </c>
      <c r="O12" s="4">
        <v>13.1492</v>
      </c>
      <c r="P12" s="5">
        <v>91.2</v>
      </c>
      <c r="Q12" s="2">
        <v>54.075440220287085</v>
      </c>
      <c r="R12" t="s">
        <v>143</v>
      </c>
    </row>
    <row r="13" spans="1:18" x14ac:dyDescent="0.7">
      <c r="A13">
        <v>42.5</v>
      </c>
      <c r="B13" s="3">
        <v>0.49839120370370371</v>
      </c>
      <c r="C13" s="2">
        <v>37.632955000000003</v>
      </c>
      <c r="D13" s="2">
        <v>141.01316166666666</v>
      </c>
      <c r="E13" s="4">
        <v>13.1492</v>
      </c>
      <c r="F13" s="5">
        <v>91.2</v>
      </c>
      <c r="G13">
        <v>-76</v>
      </c>
      <c r="H13" s="2">
        <v>37.632946666666662</v>
      </c>
      <c r="I13" s="2">
        <v>141.01375999999999</v>
      </c>
      <c r="J13" s="4">
        <v>0</v>
      </c>
      <c r="K13" s="5">
        <v>0</v>
      </c>
      <c r="L13">
        <v>-62</v>
      </c>
      <c r="M13" s="2">
        <v>37.632953333333333</v>
      </c>
      <c r="N13" s="2">
        <v>141.01314666666667</v>
      </c>
      <c r="O13" s="4">
        <v>13.1492</v>
      </c>
      <c r="P13" s="5">
        <v>91.2</v>
      </c>
      <c r="Q13" s="2">
        <v>54.075440220287085</v>
      </c>
      <c r="R13" t="s">
        <v>143</v>
      </c>
    </row>
    <row r="14" spans="1:18" x14ac:dyDescent="0.7">
      <c r="A14">
        <v>62.5</v>
      </c>
      <c r="B14" s="3">
        <v>0.49846064814814817</v>
      </c>
      <c r="C14" s="2">
        <v>37.632950000000001</v>
      </c>
      <c r="D14" s="2">
        <v>141.01340333333334</v>
      </c>
      <c r="E14" s="4">
        <v>12.4084</v>
      </c>
      <c r="F14" s="5">
        <v>89.6</v>
      </c>
      <c r="G14">
        <v>-70</v>
      </c>
      <c r="H14" s="2">
        <v>37.632953333333333</v>
      </c>
      <c r="I14" s="2">
        <v>141.01330666666667</v>
      </c>
      <c r="J14" s="4">
        <v>0</v>
      </c>
      <c r="K14" s="5">
        <v>13.9</v>
      </c>
      <c r="L14">
        <v>-86</v>
      </c>
      <c r="M14" s="2">
        <v>37.632946666666662</v>
      </c>
      <c r="N14" s="2">
        <v>141.01338666666666</v>
      </c>
      <c r="O14" s="4">
        <v>12.4084</v>
      </c>
      <c r="P14" s="5">
        <v>89.6</v>
      </c>
      <c r="Q14" s="2">
        <v>7.0919157807694786</v>
      </c>
      <c r="R14" t="s">
        <v>143</v>
      </c>
    </row>
    <row r="15" spans="1:18" x14ac:dyDescent="0.7">
      <c r="A15">
        <v>62.5</v>
      </c>
      <c r="B15" s="3">
        <v>0.49847222222222221</v>
      </c>
      <c r="C15" s="2">
        <v>37.632948333333339</v>
      </c>
      <c r="D15" s="2">
        <v>141.01344166666667</v>
      </c>
      <c r="E15" s="4">
        <v>12.4084</v>
      </c>
      <c r="F15" s="5">
        <v>90.1</v>
      </c>
      <c r="G15">
        <v>-70</v>
      </c>
      <c r="H15" s="2">
        <v>37.632953333333333</v>
      </c>
      <c r="I15" s="2">
        <v>141.01330666666667</v>
      </c>
      <c r="J15" s="4">
        <v>0</v>
      </c>
      <c r="K15" s="5">
        <v>13.9</v>
      </c>
      <c r="L15">
        <v>-83</v>
      </c>
      <c r="M15" s="2">
        <v>37.632946666666662</v>
      </c>
      <c r="N15" s="2">
        <v>141.01344</v>
      </c>
      <c r="O15" s="4">
        <v>12.4084</v>
      </c>
      <c r="P15" s="5">
        <v>90.1</v>
      </c>
      <c r="Q15" s="2">
        <v>11.777880629552641</v>
      </c>
      <c r="R15" t="s">
        <v>143</v>
      </c>
    </row>
    <row r="16" spans="1:18" x14ac:dyDescent="0.7">
      <c r="A16">
        <v>67.5</v>
      </c>
      <c r="B16" s="3">
        <v>0.49847222222222221</v>
      </c>
      <c r="C16" s="2">
        <v>37.632948333333339</v>
      </c>
      <c r="D16" s="2">
        <v>141.01344166666667</v>
      </c>
      <c r="E16" s="4">
        <v>12.4084</v>
      </c>
      <c r="F16" s="5">
        <v>90.1</v>
      </c>
      <c r="G16">
        <v>-70</v>
      </c>
      <c r="H16" s="2">
        <v>37.632953333333333</v>
      </c>
      <c r="I16" s="2">
        <v>141.01330666666667</v>
      </c>
      <c r="J16" s="4">
        <v>0</v>
      </c>
      <c r="K16" s="5">
        <v>13.9</v>
      </c>
      <c r="L16">
        <v>-83</v>
      </c>
      <c r="M16" s="2">
        <v>37.632946666666662</v>
      </c>
      <c r="N16" s="2">
        <v>141.01344</v>
      </c>
      <c r="O16" s="4">
        <v>12.4084</v>
      </c>
      <c r="P16" s="5">
        <v>90.1</v>
      </c>
      <c r="Q16" s="2">
        <v>11.777880629552641</v>
      </c>
      <c r="R16" t="s">
        <v>143</v>
      </c>
    </row>
    <row r="17" spans="1:18" x14ac:dyDescent="0.7">
      <c r="A17">
        <v>67.5</v>
      </c>
      <c r="B17" s="3">
        <v>0.4984837962962963</v>
      </c>
      <c r="C17" s="2">
        <v>37.632946666666662</v>
      </c>
      <c r="D17" s="2">
        <v>141.01348166666668</v>
      </c>
      <c r="E17" s="4">
        <v>12.4084</v>
      </c>
      <c r="F17" s="5">
        <v>90.9</v>
      </c>
      <c r="G17">
        <v>-70</v>
      </c>
      <c r="H17" s="2">
        <v>37.632953333333333</v>
      </c>
      <c r="I17" s="2">
        <v>141.01330666666667</v>
      </c>
      <c r="J17" s="4">
        <v>0</v>
      </c>
      <c r="K17" s="5">
        <v>13.9</v>
      </c>
      <c r="L17">
        <v>-91</v>
      </c>
      <c r="M17" s="2">
        <v>37.632946666666662</v>
      </c>
      <c r="N17" s="2">
        <v>141.01349333333334</v>
      </c>
      <c r="O17" s="4">
        <v>12.4084</v>
      </c>
      <c r="P17" s="5">
        <v>90.9</v>
      </c>
      <c r="Q17" s="2">
        <v>16.47294122418981</v>
      </c>
      <c r="R17" t="s">
        <v>143</v>
      </c>
    </row>
    <row r="18" spans="1:18" x14ac:dyDescent="0.7">
      <c r="A18">
        <v>67.5</v>
      </c>
      <c r="B18" s="3">
        <v>0.49849537037037034</v>
      </c>
      <c r="C18" s="2">
        <v>37.632944999999999</v>
      </c>
      <c r="D18" s="2">
        <v>141.01352166666666</v>
      </c>
      <c r="E18" s="4">
        <v>12.4084</v>
      </c>
      <c r="F18" s="5">
        <v>91.3</v>
      </c>
      <c r="G18">
        <v>-70</v>
      </c>
      <c r="H18" s="2">
        <v>37.632953333333333</v>
      </c>
      <c r="I18" s="2">
        <v>141.01330666666667</v>
      </c>
      <c r="J18" s="4">
        <v>0</v>
      </c>
      <c r="K18" s="5">
        <v>13.9</v>
      </c>
      <c r="L18">
        <v>-95</v>
      </c>
      <c r="M18" s="2">
        <v>37.632946666666662</v>
      </c>
      <c r="N18" s="2">
        <v>141.01352</v>
      </c>
      <c r="O18" s="4">
        <v>12.4084</v>
      </c>
      <c r="P18" s="5">
        <v>91.3</v>
      </c>
      <c r="Q18" s="2">
        <v>18.821845933244283</v>
      </c>
      <c r="R18" t="s">
        <v>143</v>
      </c>
    </row>
    <row r="19" spans="1:18" x14ac:dyDescent="0.7">
      <c r="A19">
        <v>72.5</v>
      </c>
      <c r="B19" s="3">
        <v>0.49849537037037034</v>
      </c>
      <c r="C19" s="2">
        <v>37.632944999999999</v>
      </c>
      <c r="D19" s="2">
        <v>141.01352166666666</v>
      </c>
      <c r="E19" s="4">
        <v>12.4084</v>
      </c>
      <c r="F19" s="5">
        <v>91.3</v>
      </c>
      <c r="G19">
        <v>-70</v>
      </c>
      <c r="H19" s="2">
        <v>37.632953333333333</v>
      </c>
      <c r="I19" s="2">
        <v>141.01330666666667</v>
      </c>
      <c r="J19" s="4">
        <v>0</v>
      </c>
      <c r="K19" s="5">
        <v>13.9</v>
      </c>
      <c r="L19">
        <v>-95</v>
      </c>
      <c r="M19" s="2">
        <v>37.632946666666662</v>
      </c>
      <c r="N19" s="2">
        <v>141.01352</v>
      </c>
      <c r="O19" s="4">
        <v>12.4084</v>
      </c>
      <c r="P19" s="5">
        <v>91.3</v>
      </c>
      <c r="Q19" s="2">
        <v>18.821845933244283</v>
      </c>
      <c r="R19" t="s">
        <v>143</v>
      </c>
    </row>
    <row r="20" spans="1:18" x14ac:dyDescent="0.7">
      <c r="A20">
        <v>72.5</v>
      </c>
      <c r="B20" s="3">
        <v>0.49850694444444449</v>
      </c>
      <c r="C20" s="2">
        <v>37.632944999999999</v>
      </c>
      <c r="D20" s="2">
        <v>141.013565</v>
      </c>
      <c r="E20" s="4">
        <v>12.4084</v>
      </c>
      <c r="F20" s="5">
        <v>91.5</v>
      </c>
      <c r="G20">
        <v>-70</v>
      </c>
      <c r="H20" s="2">
        <v>37.632953333333333</v>
      </c>
      <c r="I20" s="2">
        <v>141.01328000000001</v>
      </c>
      <c r="J20" s="4">
        <v>0</v>
      </c>
      <c r="K20" s="5">
        <v>13.9</v>
      </c>
      <c r="L20">
        <v>-87</v>
      </c>
      <c r="M20" s="2">
        <v>37.632946666666662</v>
      </c>
      <c r="N20" s="2">
        <v>141.01357333333331</v>
      </c>
      <c r="O20" s="4">
        <v>12.4084</v>
      </c>
      <c r="P20" s="5">
        <v>91.5</v>
      </c>
      <c r="Q20" s="2">
        <v>25.870364396652924</v>
      </c>
      <c r="R20" t="s">
        <v>143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CD853-A05C-46E3-8659-0558024BC4B0}">
  <sheetPr codeName="Sheet176"/>
  <dimension ref="A1:R5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12.5</v>
      </c>
      <c r="B2" s="3">
        <v>0.50049768518518511</v>
      </c>
      <c r="C2" s="2">
        <v>37.632981666666666</v>
      </c>
      <c r="D2" s="2">
        <v>141.01283333333333</v>
      </c>
      <c r="E2" s="4">
        <v>22.038800000000002</v>
      </c>
      <c r="F2" s="5">
        <v>90.4</v>
      </c>
      <c r="G2">
        <v>-74</v>
      </c>
      <c r="H2" s="2">
        <v>37.632933333333334</v>
      </c>
      <c r="I2" s="2">
        <v>141.01373333333333</v>
      </c>
      <c r="J2" s="4">
        <v>0</v>
      </c>
      <c r="K2" s="5">
        <v>0</v>
      </c>
      <c r="L2">
        <v>-67</v>
      </c>
      <c r="M2" s="2">
        <v>37.632979999999996</v>
      </c>
      <c r="N2" s="2">
        <v>141.01282666666665</v>
      </c>
      <c r="O2" s="4">
        <v>22.038800000000002</v>
      </c>
      <c r="P2" s="5">
        <v>90.4</v>
      </c>
      <c r="Q2" s="2">
        <v>80.098741397476402</v>
      </c>
      <c r="R2" t="s">
        <v>145</v>
      </c>
    </row>
    <row r="3" spans="1:18" x14ac:dyDescent="0.7">
      <c r="A3">
        <v>17.5</v>
      </c>
      <c r="B3" s="3">
        <v>0.50050925925925926</v>
      </c>
      <c r="C3" s="2">
        <v>37.632981666666666</v>
      </c>
      <c r="D3" s="2">
        <v>141.01289666666668</v>
      </c>
      <c r="E3" s="4">
        <v>22.409200000000002</v>
      </c>
      <c r="F3" s="5">
        <v>90.5</v>
      </c>
      <c r="G3">
        <v>-75</v>
      </c>
      <c r="H3" s="2">
        <v>37.632933333333334</v>
      </c>
      <c r="I3" s="2">
        <v>141.01373333333333</v>
      </c>
      <c r="J3" s="4">
        <v>0</v>
      </c>
      <c r="K3" s="5">
        <v>0</v>
      </c>
      <c r="L3">
        <v>-65</v>
      </c>
      <c r="M3" s="2">
        <v>37.632979999999996</v>
      </c>
      <c r="N3" s="2">
        <v>141.01290666666668</v>
      </c>
      <c r="O3" s="4">
        <v>22.409200000000002</v>
      </c>
      <c r="P3" s="5">
        <v>90.5</v>
      </c>
      <c r="Q3" s="2">
        <v>73.062366359272701</v>
      </c>
      <c r="R3" t="s">
        <v>145</v>
      </c>
    </row>
    <row r="4" spans="1:18" x14ac:dyDescent="0.7">
      <c r="A4">
        <v>37.5</v>
      </c>
      <c r="B4" s="3">
        <v>0.50053240740740745</v>
      </c>
      <c r="C4" s="2">
        <v>37.632975000000002</v>
      </c>
      <c r="D4" s="2">
        <v>141.01311333333334</v>
      </c>
      <c r="E4" s="4">
        <v>23.520399999999999</v>
      </c>
      <c r="F4" s="5">
        <v>90.9</v>
      </c>
      <c r="G4">
        <v>-70</v>
      </c>
      <c r="H4" s="2">
        <v>37.632953333333333</v>
      </c>
      <c r="I4" s="2">
        <v>141.01285333333331</v>
      </c>
      <c r="J4" s="4">
        <v>0</v>
      </c>
      <c r="K4" s="5">
        <v>0</v>
      </c>
      <c r="L4">
        <v>-89</v>
      </c>
      <c r="M4" s="2">
        <v>37.632973333333332</v>
      </c>
      <c r="N4" s="2">
        <v>141.01328000000001</v>
      </c>
      <c r="O4" s="4">
        <v>22.409200000000002</v>
      </c>
      <c r="P4" s="5">
        <v>90.6</v>
      </c>
      <c r="Q4" s="2">
        <v>37.679908142531694</v>
      </c>
      <c r="R4" t="s">
        <v>145</v>
      </c>
    </row>
    <row r="5" spans="1:18" x14ac:dyDescent="0.7">
      <c r="A5">
        <v>57.5</v>
      </c>
      <c r="B5" s="3">
        <v>0.50056712962962957</v>
      </c>
      <c r="C5" s="2">
        <v>37.632973333333332</v>
      </c>
      <c r="D5" s="2">
        <v>141.01335666666668</v>
      </c>
      <c r="E5" s="4">
        <v>23.150000000000002</v>
      </c>
      <c r="F5" s="5">
        <v>90.6</v>
      </c>
      <c r="G5">
        <v>-70</v>
      </c>
      <c r="H5" s="2">
        <v>37.632946666666662</v>
      </c>
      <c r="I5" s="2">
        <v>141.01285333333331</v>
      </c>
      <c r="J5" s="4">
        <v>0</v>
      </c>
      <c r="K5" s="5">
        <v>0</v>
      </c>
      <c r="L5">
        <v>-84</v>
      </c>
      <c r="M5" s="2">
        <v>37.632973333333332</v>
      </c>
      <c r="N5" s="2">
        <v>141.01336000000001</v>
      </c>
      <c r="O5" s="4">
        <v>23.150000000000002</v>
      </c>
      <c r="P5" s="5">
        <v>90.6</v>
      </c>
      <c r="Q5" s="2">
        <v>44.765423137408725</v>
      </c>
      <c r="R5" t="s">
        <v>145</v>
      </c>
    </row>
  </sheetData>
  <phoneticPr fontId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5B8BD-89BF-4D41-A945-9CE16399161E}">
  <sheetPr codeName="Sheet177"/>
  <dimension ref="A1:R32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0.50657407407407407</v>
      </c>
      <c r="C2" s="2">
        <v>37.632961666666667</v>
      </c>
      <c r="D2" s="2">
        <v>141.01273</v>
      </c>
      <c r="E2" s="4">
        <v>12.2232</v>
      </c>
      <c r="F2" s="5">
        <v>91.6</v>
      </c>
      <c r="G2">
        <v>-75</v>
      </c>
      <c r="H2" s="2">
        <v>37.632933333333334</v>
      </c>
      <c r="I2" s="2">
        <v>141.01373333333333</v>
      </c>
      <c r="J2" s="4">
        <v>0</v>
      </c>
      <c r="K2" s="5">
        <v>0</v>
      </c>
      <c r="L2">
        <v>-74</v>
      </c>
      <c r="M2" s="2">
        <v>37.632960000000004</v>
      </c>
      <c r="N2" s="2">
        <v>141.01274666666669</v>
      </c>
      <c r="O2" s="4">
        <v>12.2232</v>
      </c>
      <c r="P2" s="5">
        <v>91.6</v>
      </c>
      <c r="Q2" s="2">
        <v>87.033347641734537</v>
      </c>
      <c r="R2" t="s">
        <v>147</v>
      </c>
    </row>
    <row r="3" spans="1:18" x14ac:dyDescent="0.7">
      <c r="A3">
        <v>2.5</v>
      </c>
      <c r="B3" s="3">
        <v>0.50658564814814822</v>
      </c>
      <c r="C3" s="2">
        <v>37.632960000000004</v>
      </c>
      <c r="D3" s="2">
        <v>141.012775</v>
      </c>
      <c r="E3" s="4">
        <v>14.075200000000001</v>
      </c>
      <c r="F3" s="5">
        <v>91.2</v>
      </c>
      <c r="G3">
        <v>-75</v>
      </c>
      <c r="H3" s="2">
        <v>37.632933333333334</v>
      </c>
      <c r="I3" s="2">
        <v>141.01373333333333</v>
      </c>
      <c r="J3" s="4">
        <v>0</v>
      </c>
      <c r="K3" s="5">
        <v>0</v>
      </c>
      <c r="L3">
        <v>-74</v>
      </c>
      <c r="M3" s="2">
        <v>37.632960000000004</v>
      </c>
      <c r="N3" s="2">
        <v>141.01277333333334</v>
      </c>
      <c r="O3" s="4">
        <v>14.075200000000001</v>
      </c>
      <c r="P3" s="5">
        <v>91.2</v>
      </c>
      <c r="Q3" s="2">
        <v>84.68397464884842</v>
      </c>
      <c r="R3" t="s">
        <v>147</v>
      </c>
    </row>
    <row r="4" spans="1:18" x14ac:dyDescent="0.7">
      <c r="A4">
        <v>7.5</v>
      </c>
      <c r="B4" s="3">
        <v>0.50658564814814822</v>
      </c>
      <c r="C4" s="2">
        <v>37.632960000000004</v>
      </c>
      <c r="D4" s="2">
        <v>141.012775</v>
      </c>
      <c r="E4" s="4">
        <v>14.075200000000001</v>
      </c>
      <c r="F4" s="5">
        <v>91.2</v>
      </c>
      <c r="G4">
        <v>-75</v>
      </c>
      <c r="H4" s="2">
        <v>37.632933333333334</v>
      </c>
      <c r="I4" s="2">
        <v>141.01373333333333</v>
      </c>
      <c r="J4" s="4">
        <v>0</v>
      </c>
      <c r="K4" s="5">
        <v>0</v>
      </c>
      <c r="L4">
        <v>-74</v>
      </c>
      <c r="M4" s="2">
        <v>37.632960000000004</v>
      </c>
      <c r="N4" s="2">
        <v>141.01277333333334</v>
      </c>
      <c r="O4" s="4">
        <v>14.075200000000001</v>
      </c>
      <c r="P4" s="5">
        <v>91.2</v>
      </c>
      <c r="Q4" s="2">
        <v>84.68397464884842</v>
      </c>
      <c r="R4" t="s">
        <v>147</v>
      </c>
    </row>
    <row r="5" spans="1:18" x14ac:dyDescent="0.7">
      <c r="A5">
        <v>7.5</v>
      </c>
      <c r="B5" s="3">
        <v>0.50659722222222225</v>
      </c>
      <c r="C5" s="2">
        <v>37.632958333333335</v>
      </c>
      <c r="D5" s="2">
        <v>141.01282499999999</v>
      </c>
      <c r="E5" s="4">
        <v>15.186399999999999</v>
      </c>
      <c r="F5" s="5">
        <v>91.6</v>
      </c>
      <c r="G5">
        <v>-75</v>
      </c>
      <c r="H5" s="2">
        <v>37.632933333333334</v>
      </c>
      <c r="I5" s="2">
        <v>141.01373333333333</v>
      </c>
      <c r="J5" s="4">
        <v>0</v>
      </c>
      <c r="K5" s="5">
        <v>0</v>
      </c>
      <c r="L5">
        <v>-74</v>
      </c>
      <c r="M5" s="2">
        <v>37.632953333333333</v>
      </c>
      <c r="N5" s="2">
        <v>141.01282666666665</v>
      </c>
      <c r="O5" s="4">
        <v>15.186400000000001</v>
      </c>
      <c r="P5" s="5">
        <v>91.6</v>
      </c>
      <c r="Q5" s="2">
        <v>79.961040897845692</v>
      </c>
      <c r="R5" t="s">
        <v>147</v>
      </c>
    </row>
    <row r="6" spans="1:18" x14ac:dyDescent="0.7">
      <c r="A6">
        <v>12.5</v>
      </c>
      <c r="B6" s="3">
        <v>0.50660879629629629</v>
      </c>
      <c r="C6" s="2">
        <v>37.632958333333335</v>
      </c>
      <c r="D6" s="2">
        <v>141.01287333333332</v>
      </c>
      <c r="E6" s="4">
        <v>15.742000000000001</v>
      </c>
      <c r="F6" s="5">
        <v>91.4</v>
      </c>
      <c r="G6">
        <v>-75</v>
      </c>
      <c r="H6" s="2">
        <v>37.632933333333334</v>
      </c>
      <c r="I6" s="2">
        <v>141.01373333333333</v>
      </c>
      <c r="J6" s="4">
        <v>0</v>
      </c>
      <c r="K6" s="5">
        <v>0</v>
      </c>
      <c r="L6">
        <v>-73</v>
      </c>
      <c r="M6" s="2">
        <v>37.632953333333333</v>
      </c>
      <c r="N6" s="2">
        <v>141.01285333333331</v>
      </c>
      <c r="O6" s="4">
        <v>15.742000000000001</v>
      </c>
      <c r="P6" s="5">
        <v>91.4</v>
      </c>
      <c r="Q6" s="2">
        <v>77.611151384303099</v>
      </c>
      <c r="R6" t="s">
        <v>147</v>
      </c>
    </row>
    <row r="7" spans="1:18" x14ac:dyDescent="0.7">
      <c r="A7">
        <v>17.5</v>
      </c>
      <c r="B7" s="3">
        <v>0.50660879629629629</v>
      </c>
      <c r="C7" s="2">
        <v>37.632958333333335</v>
      </c>
      <c r="D7" s="2">
        <v>141.01287333333332</v>
      </c>
      <c r="E7" s="4">
        <v>15.742000000000001</v>
      </c>
      <c r="F7" s="5">
        <v>91.4</v>
      </c>
      <c r="G7">
        <v>-75</v>
      </c>
      <c r="H7" s="2">
        <v>37.632933333333334</v>
      </c>
      <c r="I7" s="2">
        <v>141.01373333333333</v>
      </c>
      <c r="J7" s="4">
        <v>0</v>
      </c>
      <c r="K7" s="5">
        <v>0</v>
      </c>
      <c r="L7">
        <v>-73</v>
      </c>
      <c r="M7" s="2">
        <v>37.632953333333333</v>
      </c>
      <c r="N7" s="2">
        <v>141.01285333333331</v>
      </c>
      <c r="O7" s="4">
        <v>15.742000000000001</v>
      </c>
      <c r="P7" s="5">
        <v>91.4</v>
      </c>
      <c r="Q7" s="2">
        <v>77.611151384303099</v>
      </c>
      <c r="R7" t="s">
        <v>147</v>
      </c>
    </row>
    <row r="8" spans="1:18" x14ac:dyDescent="0.7">
      <c r="A8">
        <v>17.5</v>
      </c>
      <c r="B8" s="3">
        <v>0.50662037037037033</v>
      </c>
      <c r="C8" s="2">
        <v>37.632956666666672</v>
      </c>
      <c r="D8" s="2">
        <v>141.01292666666669</v>
      </c>
      <c r="E8" s="4">
        <v>15.742000000000001</v>
      </c>
      <c r="F8" s="5">
        <v>91.3</v>
      </c>
      <c r="G8">
        <v>-76</v>
      </c>
      <c r="H8" s="2">
        <v>37.632933333333334</v>
      </c>
      <c r="I8" s="2">
        <v>141.01375999999999</v>
      </c>
      <c r="J8" s="4">
        <v>0</v>
      </c>
      <c r="K8" s="5">
        <v>0</v>
      </c>
      <c r="L8">
        <v>-72</v>
      </c>
      <c r="M8" s="2">
        <v>37.632953333333333</v>
      </c>
      <c r="N8" s="2">
        <v>141.01290666666668</v>
      </c>
      <c r="O8" s="4">
        <v>15.742000000000001</v>
      </c>
      <c r="P8" s="5">
        <v>91.3</v>
      </c>
      <c r="Q8" s="2">
        <v>75.261223740159494</v>
      </c>
      <c r="R8" t="s">
        <v>147</v>
      </c>
    </row>
    <row r="9" spans="1:18" x14ac:dyDescent="0.7">
      <c r="A9">
        <v>22.5</v>
      </c>
      <c r="B9" s="3">
        <v>0.50662037037037033</v>
      </c>
      <c r="C9" s="2">
        <v>37.632956666666672</v>
      </c>
      <c r="D9" s="2">
        <v>141.01292666666669</v>
      </c>
      <c r="E9" s="4">
        <v>15.742000000000001</v>
      </c>
      <c r="F9" s="5">
        <v>91.3</v>
      </c>
      <c r="G9">
        <v>-76</v>
      </c>
      <c r="H9" s="2">
        <v>37.632933333333334</v>
      </c>
      <c r="I9" s="2">
        <v>141.01375999999999</v>
      </c>
      <c r="J9" s="4">
        <v>0</v>
      </c>
      <c r="K9" s="5">
        <v>0</v>
      </c>
      <c r="L9">
        <v>-72</v>
      </c>
      <c r="M9" s="2">
        <v>37.632953333333333</v>
      </c>
      <c r="N9" s="2">
        <v>141.01290666666668</v>
      </c>
      <c r="O9" s="4">
        <v>15.742000000000001</v>
      </c>
      <c r="P9" s="5">
        <v>91.3</v>
      </c>
      <c r="Q9" s="2">
        <v>75.261223740159494</v>
      </c>
      <c r="R9" t="s">
        <v>147</v>
      </c>
    </row>
    <row r="10" spans="1:18" x14ac:dyDescent="0.7">
      <c r="A10">
        <v>22.5</v>
      </c>
      <c r="B10" s="3">
        <v>0.50663194444444448</v>
      </c>
      <c r="C10" s="2">
        <v>37.632956666666672</v>
      </c>
      <c r="D10" s="2">
        <v>141.01297666666667</v>
      </c>
      <c r="E10" s="4">
        <v>15.556800000000001</v>
      </c>
      <c r="F10" s="5">
        <v>91.3</v>
      </c>
      <c r="G10">
        <v>-75</v>
      </c>
      <c r="H10" s="2">
        <v>37.632939999999998</v>
      </c>
      <c r="I10" s="2">
        <v>141.01375999999999</v>
      </c>
      <c r="J10" s="4">
        <v>0</v>
      </c>
      <c r="K10" s="5">
        <v>0</v>
      </c>
      <c r="L10">
        <v>-68</v>
      </c>
      <c r="M10" s="2">
        <v>37.632953333333333</v>
      </c>
      <c r="N10" s="2">
        <v>141.01295999999999</v>
      </c>
      <c r="O10" s="4">
        <v>15.556800000000001</v>
      </c>
      <c r="P10" s="5">
        <v>91.3</v>
      </c>
      <c r="Q10" s="2">
        <v>70.542097942331054</v>
      </c>
      <c r="R10" t="s">
        <v>147</v>
      </c>
    </row>
    <row r="11" spans="1:18" x14ac:dyDescent="0.7">
      <c r="A11">
        <v>27.5</v>
      </c>
      <c r="B11" s="3">
        <v>0.50663194444444448</v>
      </c>
      <c r="C11" s="2">
        <v>37.632956666666672</v>
      </c>
      <c r="D11" s="2">
        <v>141.01297666666667</v>
      </c>
      <c r="E11" s="4">
        <v>15.556800000000001</v>
      </c>
      <c r="F11" s="5">
        <v>91.3</v>
      </c>
      <c r="G11">
        <v>-75</v>
      </c>
      <c r="H11" s="2">
        <v>37.632939999999998</v>
      </c>
      <c r="I11" s="2">
        <v>141.01375999999999</v>
      </c>
      <c r="J11" s="4">
        <v>0</v>
      </c>
      <c r="K11" s="5">
        <v>0</v>
      </c>
      <c r="L11">
        <v>-68</v>
      </c>
      <c r="M11" s="2">
        <v>37.632953333333333</v>
      </c>
      <c r="N11" s="2">
        <v>141.01295999999999</v>
      </c>
      <c r="O11" s="4">
        <v>15.556800000000001</v>
      </c>
      <c r="P11" s="5">
        <v>91.3</v>
      </c>
      <c r="Q11" s="2">
        <v>70.542097942331054</v>
      </c>
      <c r="R11" t="s">
        <v>147</v>
      </c>
    </row>
    <row r="12" spans="1:18" x14ac:dyDescent="0.7">
      <c r="A12">
        <v>27.5</v>
      </c>
      <c r="B12" s="3">
        <v>0.50664351851851852</v>
      </c>
      <c r="C12" s="2">
        <v>37.632955000000003</v>
      </c>
      <c r="D12" s="2">
        <v>141.01302333333334</v>
      </c>
      <c r="E12" s="4">
        <v>14.816000000000001</v>
      </c>
      <c r="F12" s="5">
        <v>91</v>
      </c>
      <c r="G12">
        <v>-74</v>
      </c>
      <c r="H12" s="2">
        <v>37.632939999999998</v>
      </c>
      <c r="I12" s="2">
        <v>141.01375999999999</v>
      </c>
      <c r="J12" s="4">
        <v>0</v>
      </c>
      <c r="K12" s="5">
        <v>0</v>
      </c>
      <c r="L12">
        <v>-71</v>
      </c>
      <c r="M12" s="2">
        <v>37.632953333333333</v>
      </c>
      <c r="N12" s="2">
        <v>141.01301333333333</v>
      </c>
      <c r="O12" s="4">
        <v>14.816000000000001</v>
      </c>
      <c r="P12" s="5">
        <v>91</v>
      </c>
      <c r="Q12" s="2">
        <v>65.841434690060794</v>
      </c>
      <c r="R12" t="s">
        <v>147</v>
      </c>
    </row>
    <row r="13" spans="1:18" x14ac:dyDescent="0.7">
      <c r="A13">
        <v>32.5</v>
      </c>
      <c r="B13" s="3">
        <v>0.50665509259259256</v>
      </c>
      <c r="C13" s="2">
        <v>37.632953333333333</v>
      </c>
      <c r="D13" s="2">
        <v>141.01306333333332</v>
      </c>
      <c r="E13" s="4">
        <v>14.075200000000001</v>
      </c>
      <c r="F13" s="5">
        <v>91.6</v>
      </c>
      <c r="G13">
        <v>-74</v>
      </c>
      <c r="H13" s="2">
        <v>37.632946666666662</v>
      </c>
      <c r="I13" s="2">
        <v>141.01375999999999</v>
      </c>
      <c r="J13" s="4">
        <v>0</v>
      </c>
      <c r="K13" s="5">
        <v>0</v>
      </c>
      <c r="L13">
        <v>-70</v>
      </c>
      <c r="M13" s="2">
        <v>37.632946666666662</v>
      </c>
      <c r="N13" s="2">
        <v>141.01306666666667</v>
      </c>
      <c r="O13" s="4">
        <v>14.075200000000001</v>
      </c>
      <c r="P13" s="5">
        <v>91.6</v>
      </c>
      <c r="Q13" s="2">
        <v>61.123085774195602</v>
      </c>
      <c r="R13" t="s">
        <v>147</v>
      </c>
    </row>
    <row r="14" spans="1:18" x14ac:dyDescent="0.7">
      <c r="A14">
        <v>32.5</v>
      </c>
      <c r="B14" s="3">
        <v>0.50666666666666671</v>
      </c>
      <c r="C14" s="2">
        <v>37.632950000000001</v>
      </c>
      <c r="D14" s="2">
        <v>141.01310166666664</v>
      </c>
      <c r="E14" s="4">
        <v>14.075200000000001</v>
      </c>
      <c r="F14" s="5">
        <v>91.9</v>
      </c>
      <c r="G14">
        <v>-75</v>
      </c>
      <c r="H14" s="2">
        <v>37.632946666666662</v>
      </c>
      <c r="I14" s="2">
        <v>141.01375999999999</v>
      </c>
      <c r="J14" s="4">
        <v>0</v>
      </c>
      <c r="K14" s="5">
        <v>0</v>
      </c>
      <c r="L14">
        <v>-66</v>
      </c>
      <c r="M14" s="2">
        <v>37.632946666666662</v>
      </c>
      <c r="N14" s="2">
        <v>141.01309333333333</v>
      </c>
      <c r="O14" s="4">
        <v>14.075200000000001</v>
      </c>
      <c r="P14" s="5">
        <v>91.9</v>
      </c>
      <c r="Q14" s="2">
        <v>58.772174896163953</v>
      </c>
      <c r="R14" t="s">
        <v>147</v>
      </c>
    </row>
    <row r="15" spans="1:18" x14ac:dyDescent="0.7">
      <c r="A15">
        <v>37.5</v>
      </c>
      <c r="B15" s="3">
        <v>0.50666666666666671</v>
      </c>
      <c r="C15" s="2">
        <v>37.632950000000001</v>
      </c>
      <c r="D15" s="2">
        <v>141.01310166666664</v>
      </c>
      <c r="E15" s="4">
        <v>14.075200000000001</v>
      </c>
      <c r="F15" s="5">
        <v>91.9</v>
      </c>
      <c r="G15">
        <v>-75</v>
      </c>
      <c r="H15" s="2">
        <v>37.632946666666662</v>
      </c>
      <c r="I15" s="2">
        <v>141.01375999999999</v>
      </c>
      <c r="J15" s="4">
        <v>0</v>
      </c>
      <c r="K15" s="5">
        <v>0</v>
      </c>
      <c r="L15">
        <v>-66</v>
      </c>
      <c r="M15" s="2">
        <v>37.632946666666662</v>
      </c>
      <c r="N15" s="2">
        <v>141.01309333333333</v>
      </c>
      <c r="O15" s="4">
        <v>14.075200000000001</v>
      </c>
      <c r="P15" s="5">
        <v>91.9</v>
      </c>
      <c r="Q15" s="2">
        <v>58.772174896163953</v>
      </c>
      <c r="R15" t="s">
        <v>147</v>
      </c>
    </row>
    <row r="16" spans="1:18" x14ac:dyDescent="0.7">
      <c r="A16">
        <v>37.5</v>
      </c>
      <c r="B16" s="3">
        <v>0.50667824074074075</v>
      </c>
      <c r="C16" s="2">
        <v>37.632950000000001</v>
      </c>
      <c r="D16" s="2">
        <v>141.01313666666667</v>
      </c>
      <c r="E16" s="4">
        <v>11.6676</v>
      </c>
      <c r="F16" s="5">
        <v>91.5</v>
      </c>
      <c r="G16">
        <v>-74</v>
      </c>
      <c r="H16" s="2">
        <v>37.632946666666662</v>
      </c>
      <c r="I16" s="2">
        <v>141.01375999999999</v>
      </c>
      <c r="J16" s="4">
        <v>0</v>
      </c>
      <c r="K16" s="5">
        <v>0</v>
      </c>
      <c r="L16">
        <v>-70</v>
      </c>
      <c r="M16" s="2">
        <v>37.632946666666662</v>
      </c>
      <c r="N16" s="2">
        <v>141.01312000000001</v>
      </c>
      <c r="O16" s="4">
        <v>11.6676</v>
      </c>
      <c r="P16" s="5">
        <v>91.5</v>
      </c>
      <c r="Q16" s="2">
        <v>56.421368205991691</v>
      </c>
      <c r="R16" t="s">
        <v>147</v>
      </c>
    </row>
    <row r="17" spans="1:18" x14ac:dyDescent="0.7">
      <c r="A17">
        <v>37.5</v>
      </c>
      <c r="B17" s="3">
        <v>0.50668981481481479</v>
      </c>
      <c r="C17" s="2">
        <v>37.632946666666662</v>
      </c>
      <c r="D17" s="2">
        <v>141.01317166666666</v>
      </c>
      <c r="E17" s="4">
        <v>10.926800000000002</v>
      </c>
      <c r="F17" s="5">
        <v>91.6</v>
      </c>
      <c r="G17">
        <v>-75</v>
      </c>
      <c r="H17" s="2">
        <v>37.632946666666662</v>
      </c>
      <c r="I17" s="2">
        <v>141.01375999999999</v>
      </c>
      <c r="J17" s="4">
        <v>0</v>
      </c>
      <c r="K17" s="5">
        <v>0</v>
      </c>
      <c r="L17">
        <v>-66</v>
      </c>
      <c r="M17" s="2">
        <v>37.632946666666662</v>
      </c>
      <c r="N17" s="2">
        <v>141.01317333333333</v>
      </c>
      <c r="O17" s="4">
        <v>10.9268</v>
      </c>
      <c r="P17" s="5">
        <v>91.6</v>
      </c>
      <c r="Q17" s="2">
        <v>51.719600256789377</v>
      </c>
      <c r="R17" t="s">
        <v>147</v>
      </c>
    </row>
    <row r="18" spans="1:18" x14ac:dyDescent="0.7">
      <c r="A18">
        <v>42.5</v>
      </c>
      <c r="B18" s="3">
        <v>0.50668981481481479</v>
      </c>
      <c r="C18" s="2">
        <v>37.632946666666662</v>
      </c>
      <c r="D18" s="2">
        <v>141.01317166666666</v>
      </c>
      <c r="E18" s="4">
        <v>10.926800000000002</v>
      </c>
      <c r="F18" s="5">
        <v>91.6</v>
      </c>
      <c r="G18">
        <v>-75</v>
      </c>
      <c r="H18" s="2">
        <v>37.632946666666662</v>
      </c>
      <c r="I18" s="2">
        <v>141.01375999999999</v>
      </c>
      <c r="J18" s="4">
        <v>0</v>
      </c>
      <c r="K18" s="5">
        <v>0</v>
      </c>
      <c r="L18">
        <v>-66</v>
      </c>
      <c r="M18" s="2">
        <v>37.632946666666662</v>
      </c>
      <c r="N18" s="2">
        <v>141.01317333333333</v>
      </c>
      <c r="O18" s="4">
        <v>10.9268</v>
      </c>
      <c r="P18" s="5">
        <v>91.6</v>
      </c>
      <c r="Q18" s="2">
        <v>51.719600256789377</v>
      </c>
      <c r="R18" t="s">
        <v>147</v>
      </c>
    </row>
    <row r="19" spans="1:18" x14ac:dyDescent="0.7">
      <c r="A19">
        <v>42.5</v>
      </c>
      <c r="B19" s="3">
        <v>0.50670138888888883</v>
      </c>
      <c r="C19" s="2">
        <v>37.632948333333339</v>
      </c>
      <c r="D19" s="2">
        <v>141.01320833333332</v>
      </c>
      <c r="E19" s="4">
        <v>10.926800000000002</v>
      </c>
      <c r="F19" s="5">
        <v>89.6</v>
      </c>
      <c r="G19">
        <v>-75</v>
      </c>
      <c r="H19" s="2">
        <v>37.632946666666662</v>
      </c>
      <c r="I19" s="2">
        <v>141.01375999999999</v>
      </c>
      <c r="J19" s="4">
        <v>0</v>
      </c>
      <c r="K19" s="5">
        <v>0</v>
      </c>
      <c r="L19">
        <v>-64</v>
      </c>
      <c r="M19" s="2">
        <v>37.632946666666662</v>
      </c>
      <c r="N19" s="2">
        <v>141.01319999999998</v>
      </c>
      <c r="O19" s="4">
        <v>10.9268</v>
      </c>
      <c r="P19" s="5">
        <v>89.6</v>
      </c>
      <c r="Q19" s="2">
        <v>49.368715763139591</v>
      </c>
      <c r="R19" t="s">
        <v>147</v>
      </c>
    </row>
    <row r="20" spans="1:18" x14ac:dyDescent="0.7">
      <c r="A20">
        <v>42.5</v>
      </c>
      <c r="B20" s="3">
        <v>0.50671296296296298</v>
      </c>
      <c r="C20" s="2">
        <v>37.632946666666662</v>
      </c>
      <c r="D20" s="2">
        <v>141.01324166666666</v>
      </c>
      <c r="E20" s="4">
        <v>12.2232</v>
      </c>
      <c r="F20" s="5">
        <v>89.8</v>
      </c>
      <c r="G20">
        <v>-75</v>
      </c>
      <c r="H20" s="2">
        <v>37.632946666666662</v>
      </c>
      <c r="I20" s="2">
        <v>141.01375999999999</v>
      </c>
      <c r="J20" s="4">
        <v>0</v>
      </c>
      <c r="K20" s="5">
        <v>0</v>
      </c>
      <c r="L20">
        <v>-64</v>
      </c>
      <c r="M20" s="2">
        <v>37.632946666666662</v>
      </c>
      <c r="N20" s="2">
        <v>141.01322666666667</v>
      </c>
      <c r="O20" s="4">
        <v>12.2232</v>
      </c>
      <c r="P20" s="5">
        <v>89.8</v>
      </c>
      <c r="Q20" s="2">
        <v>47.017766813988615</v>
      </c>
      <c r="R20" t="s">
        <v>147</v>
      </c>
    </row>
    <row r="21" spans="1:18" x14ac:dyDescent="0.7">
      <c r="A21">
        <v>47.5</v>
      </c>
      <c r="B21" s="3">
        <v>0.50671296296296298</v>
      </c>
      <c r="C21" s="2">
        <v>37.632946666666662</v>
      </c>
      <c r="D21" s="2">
        <v>141.01324166666666</v>
      </c>
      <c r="E21" s="4">
        <v>12.2232</v>
      </c>
      <c r="F21" s="5">
        <v>89.8</v>
      </c>
      <c r="G21">
        <v>-75</v>
      </c>
      <c r="H21" s="2">
        <v>37.632946666666662</v>
      </c>
      <c r="I21" s="2">
        <v>141.01375999999999</v>
      </c>
      <c r="J21" s="4">
        <v>0</v>
      </c>
      <c r="K21" s="5">
        <v>0</v>
      </c>
      <c r="L21">
        <v>-64</v>
      </c>
      <c r="M21" s="2">
        <v>37.632946666666662</v>
      </c>
      <c r="N21" s="2">
        <v>141.01322666666667</v>
      </c>
      <c r="O21" s="4">
        <v>12.2232</v>
      </c>
      <c r="P21" s="5">
        <v>89.8</v>
      </c>
      <c r="Q21" s="2">
        <v>47.017766813988615</v>
      </c>
      <c r="R21" t="s">
        <v>147</v>
      </c>
    </row>
    <row r="22" spans="1:18" x14ac:dyDescent="0.7">
      <c r="A22">
        <v>47.5</v>
      </c>
      <c r="B22" s="3">
        <v>0.50672453703703701</v>
      </c>
      <c r="C22" s="2">
        <v>37.632946666666662</v>
      </c>
      <c r="D22" s="2">
        <v>141.01327499999999</v>
      </c>
      <c r="E22" s="4">
        <v>11.6676</v>
      </c>
      <c r="F22" s="5">
        <v>90.5</v>
      </c>
      <c r="G22">
        <v>-76</v>
      </c>
      <c r="H22" s="2">
        <v>37.632946666666662</v>
      </c>
      <c r="I22" s="2">
        <v>141.01375999999999</v>
      </c>
      <c r="J22" s="4">
        <v>0</v>
      </c>
      <c r="K22" s="5">
        <v>0</v>
      </c>
      <c r="L22">
        <v>-63</v>
      </c>
      <c r="M22" s="2">
        <v>37.632946666666662</v>
      </c>
      <c r="N22" s="2">
        <v>141.01328000000001</v>
      </c>
      <c r="O22" s="4">
        <v>11.6676</v>
      </c>
      <c r="P22" s="5">
        <v>90.5</v>
      </c>
      <c r="Q22" s="2">
        <v>42.316059507793881</v>
      </c>
      <c r="R22" t="s">
        <v>147</v>
      </c>
    </row>
    <row r="23" spans="1:18" x14ac:dyDescent="0.7">
      <c r="A23">
        <v>52.5</v>
      </c>
      <c r="B23" s="3">
        <v>0.50672453703703701</v>
      </c>
      <c r="C23" s="2">
        <v>37.632946666666662</v>
      </c>
      <c r="D23" s="2">
        <v>141.01327499999999</v>
      </c>
      <c r="E23" s="4">
        <v>11.6676</v>
      </c>
      <c r="F23" s="5">
        <v>90.5</v>
      </c>
      <c r="G23">
        <v>-76</v>
      </c>
      <c r="H23" s="2">
        <v>37.632946666666662</v>
      </c>
      <c r="I23" s="2">
        <v>141.01375999999999</v>
      </c>
      <c r="J23" s="4">
        <v>0</v>
      </c>
      <c r="K23" s="5">
        <v>0</v>
      </c>
      <c r="L23">
        <v>-63</v>
      </c>
      <c r="M23" s="2">
        <v>37.632946666666662</v>
      </c>
      <c r="N23" s="2">
        <v>141.01328000000001</v>
      </c>
      <c r="O23" s="4">
        <v>11.6676</v>
      </c>
      <c r="P23" s="5">
        <v>90.5</v>
      </c>
      <c r="Q23" s="2">
        <v>42.316059507793881</v>
      </c>
      <c r="R23" t="s">
        <v>147</v>
      </c>
    </row>
    <row r="24" spans="1:18" x14ac:dyDescent="0.7">
      <c r="A24">
        <v>52.5</v>
      </c>
      <c r="B24" s="3">
        <v>0.50673611111111116</v>
      </c>
      <c r="C24" s="2">
        <v>37.632946666666662</v>
      </c>
      <c r="D24" s="2">
        <v>141.01331166666665</v>
      </c>
      <c r="E24" s="4">
        <v>11.2972</v>
      </c>
      <c r="F24" s="5">
        <v>90.4</v>
      </c>
      <c r="G24">
        <v>-75</v>
      </c>
      <c r="H24" s="2">
        <v>37.632946666666662</v>
      </c>
      <c r="I24" s="2">
        <v>141.01375999999999</v>
      </c>
      <c r="J24" s="4">
        <v>0</v>
      </c>
      <c r="K24" s="5">
        <v>0</v>
      </c>
      <c r="L24">
        <v>-61</v>
      </c>
      <c r="M24" s="2">
        <v>37.632946666666662</v>
      </c>
      <c r="N24" s="2">
        <v>141.01330666666667</v>
      </c>
      <c r="O24" s="4">
        <v>11.2972</v>
      </c>
      <c r="P24" s="5">
        <v>90.4</v>
      </c>
      <c r="Q24" s="2">
        <v>39.965210562956173</v>
      </c>
      <c r="R24" t="s">
        <v>147</v>
      </c>
    </row>
    <row r="25" spans="1:18" x14ac:dyDescent="0.7">
      <c r="A25">
        <v>57.5</v>
      </c>
      <c r="B25" s="3">
        <v>0.5067476851851852</v>
      </c>
      <c r="C25" s="2">
        <v>37.632946666666662</v>
      </c>
      <c r="D25" s="2">
        <v>141.01334499999999</v>
      </c>
      <c r="E25" s="4">
        <v>10.926800000000002</v>
      </c>
      <c r="F25" s="5">
        <v>91.2</v>
      </c>
      <c r="G25">
        <v>-75</v>
      </c>
      <c r="H25" s="2">
        <v>37.632946666666662</v>
      </c>
      <c r="I25" s="2">
        <v>141.01375999999999</v>
      </c>
      <c r="J25" s="4">
        <v>0</v>
      </c>
      <c r="K25" s="5">
        <v>0</v>
      </c>
      <c r="L25">
        <v>-58</v>
      </c>
      <c r="M25" s="2">
        <v>37.632946666666662</v>
      </c>
      <c r="N25" s="2">
        <v>141.01333333333332</v>
      </c>
      <c r="O25" s="4">
        <v>10.9268</v>
      </c>
      <c r="P25" s="5">
        <v>91.2</v>
      </c>
      <c r="Q25" s="2">
        <v>37.614285494290804</v>
      </c>
      <c r="R25" t="s">
        <v>147</v>
      </c>
    </row>
    <row r="26" spans="1:18" x14ac:dyDescent="0.7">
      <c r="A26">
        <v>57.5</v>
      </c>
      <c r="B26" s="3">
        <v>0.50675925925925924</v>
      </c>
      <c r="C26" s="2">
        <v>37.63294333333333</v>
      </c>
      <c r="D26" s="2">
        <v>141.01337666666669</v>
      </c>
      <c r="E26" s="4">
        <v>10.926800000000002</v>
      </c>
      <c r="F26" s="5">
        <v>92.4</v>
      </c>
      <c r="G26">
        <v>-74</v>
      </c>
      <c r="H26" s="2">
        <v>37.632946666666662</v>
      </c>
      <c r="I26" s="2">
        <v>141.01375999999999</v>
      </c>
      <c r="J26" s="4">
        <v>0</v>
      </c>
      <c r="K26" s="5">
        <v>0</v>
      </c>
      <c r="L26">
        <v>-58</v>
      </c>
      <c r="M26" s="2">
        <v>37.632946666666662</v>
      </c>
      <c r="N26" s="2">
        <v>141.01336000000001</v>
      </c>
      <c r="O26" s="4">
        <v>10.9268</v>
      </c>
      <c r="P26" s="5">
        <v>92.4</v>
      </c>
      <c r="Q26" s="2">
        <v>35.263397154157872</v>
      </c>
      <c r="R26" t="s">
        <v>147</v>
      </c>
    </row>
    <row r="27" spans="1:18" x14ac:dyDescent="0.7">
      <c r="A27">
        <v>62.5</v>
      </c>
      <c r="B27" s="3">
        <v>0.50675925925925924</v>
      </c>
      <c r="C27" s="2">
        <v>37.63294333333333</v>
      </c>
      <c r="D27" s="2">
        <v>141.01337666666669</v>
      </c>
      <c r="E27" s="4">
        <v>10.926800000000002</v>
      </c>
      <c r="F27" s="5">
        <v>92.4</v>
      </c>
      <c r="G27">
        <v>-74</v>
      </c>
      <c r="H27" s="2">
        <v>37.632946666666662</v>
      </c>
      <c r="I27" s="2">
        <v>141.01375999999999</v>
      </c>
      <c r="J27" s="4">
        <v>0</v>
      </c>
      <c r="K27" s="5">
        <v>0</v>
      </c>
      <c r="L27">
        <v>-58</v>
      </c>
      <c r="M27" s="2">
        <v>37.632946666666662</v>
      </c>
      <c r="N27" s="2">
        <v>141.01336000000001</v>
      </c>
      <c r="O27" s="4">
        <v>10.9268</v>
      </c>
      <c r="P27" s="5">
        <v>92.4</v>
      </c>
      <c r="Q27" s="2">
        <v>35.263397154157872</v>
      </c>
      <c r="R27" t="s">
        <v>147</v>
      </c>
    </row>
    <row r="28" spans="1:18" x14ac:dyDescent="0.7">
      <c r="A28">
        <v>62.5</v>
      </c>
      <c r="B28" s="3">
        <v>0.50677083333333328</v>
      </c>
      <c r="C28" s="2">
        <v>37.632941666666667</v>
      </c>
      <c r="D28" s="2">
        <v>141.01341333333332</v>
      </c>
      <c r="E28" s="4">
        <v>10.926800000000002</v>
      </c>
      <c r="F28" s="5">
        <v>92.5</v>
      </c>
      <c r="G28">
        <v>-74</v>
      </c>
      <c r="H28" s="2">
        <v>37.632946666666662</v>
      </c>
      <c r="I28" s="2">
        <v>141.01375999999999</v>
      </c>
      <c r="J28" s="4">
        <v>0</v>
      </c>
      <c r="K28" s="5">
        <v>0</v>
      </c>
      <c r="L28">
        <v>-58</v>
      </c>
      <c r="M28" s="2">
        <v>37.632939999999998</v>
      </c>
      <c r="N28" s="2">
        <v>141.01338666666666</v>
      </c>
      <c r="O28" s="4">
        <v>10.9268</v>
      </c>
      <c r="P28" s="5">
        <v>92.5</v>
      </c>
      <c r="Q28" s="2">
        <v>32.92092313187905</v>
      </c>
      <c r="R28" t="s">
        <v>147</v>
      </c>
    </row>
    <row r="29" spans="1:18" x14ac:dyDescent="0.7">
      <c r="A29">
        <v>67.5</v>
      </c>
      <c r="B29" s="3">
        <v>0.50678240740740743</v>
      </c>
      <c r="C29" s="2">
        <v>37.632941666666667</v>
      </c>
      <c r="D29" s="2">
        <v>141.01345000000001</v>
      </c>
      <c r="E29" s="4">
        <v>10.926800000000002</v>
      </c>
      <c r="F29" s="5">
        <v>91.9</v>
      </c>
      <c r="G29">
        <v>-74</v>
      </c>
      <c r="H29" s="2">
        <v>37.632946666666662</v>
      </c>
      <c r="I29" s="2">
        <v>141.01375999999999</v>
      </c>
      <c r="J29" s="4">
        <v>0</v>
      </c>
      <c r="K29" s="5">
        <v>0</v>
      </c>
      <c r="L29">
        <v>-55</v>
      </c>
      <c r="M29" s="2">
        <v>37.632939999999998</v>
      </c>
      <c r="N29" s="2">
        <v>141.01344</v>
      </c>
      <c r="O29" s="4">
        <v>10.9268</v>
      </c>
      <c r="P29" s="5">
        <v>91.9</v>
      </c>
      <c r="Q29" s="2">
        <v>28.220488364390249</v>
      </c>
      <c r="R29" t="s">
        <v>147</v>
      </c>
    </row>
    <row r="30" spans="1:18" x14ac:dyDescent="0.7">
      <c r="A30">
        <v>67.5</v>
      </c>
      <c r="B30" s="3">
        <v>0.50679398148148147</v>
      </c>
      <c r="C30" s="2">
        <v>37.632941666666667</v>
      </c>
      <c r="D30" s="2">
        <v>141.01348666666667</v>
      </c>
      <c r="E30" s="4">
        <v>10.926800000000002</v>
      </c>
      <c r="F30" s="5">
        <v>91.3</v>
      </c>
      <c r="G30">
        <v>-74</v>
      </c>
      <c r="H30" s="2">
        <v>37.632946666666662</v>
      </c>
      <c r="I30" s="2">
        <v>141.01375999999999</v>
      </c>
      <c r="J30" s="4">
        <v>0</v>
      </c>
      <c r="K30" s="5">
        <v>0</v>
      </c>
      <c r="L30">
        <v>-54</v>
      </c>
      <c r="M30" s="2">
        <v>37.632939999999998</v>
      </c>
      <c r="N30" s="2">
        <v>141.01349333333334</v>
      </c>
      <c r="O30" s="4">
        <v>10.9268</v>
      </c>
      <c r="P30" s="5">
        <v>91.3</v>
      </c>
      <c r="Q30" s="2">
        <v>23.520839653208526</v>
      </c>
      <c r="R30" t="s">
        <v>147</v>
      </c>
    </row>
    <row r="31" spans="1:18" x14ac:dyDescent="0.7">
      <c r="A31">
        <v>72.5</v>
      </c>
      <c r="B31" s="3">
        <v>0.50680555555555562</v>
      </c>
      <c r="C31" s="2">
        <v>37.632941666666667</v>
      </c>
      <c r="D31" s="2">
        <v>141.01352499999999</v>
      </c>
      <c r="E31" s="4">
        <v>10.926800000000002</v>
      </c>
      <c r="F31" s="5">
        <v>90.8</v>
      </c>
      <c r="G31">
        <v>-75</v>
      </c>
      <c r="H31" s="2">
        <v>37.632946666666662</v>
      </c>
      <c r="I31" s="2">
        <v>141.01375999999999</v>
      </c>
      <c r="J31" s="4">
        <v>0</v>
      </c>
      <c r="K31" s="5">
        <v>0</v>
      </c>
      <c r="L31">
        <v>-54</v>
      </c>
      <c r="M31" s="2">
        <v>37.632939999999998</v>
      </c>
      <c r="N31" s="2">
        <v>141.01352</v>
      </c>
      <c r="O31" s="4">
        <v>10.9268</v>
      </c>
      <c r="P31" s="5">
        <v>90.8</v>
      </c>
      <c r="Q31" s="2">
        <v>21.171046994281667</v>
      </c>
      <c r="R31" t="s">
        <v>147</v>
      </c>
    </row>
    <row r="32" spans="1:18" x14ac:dyDescent="0.7">
      <c r="A32">
        <v>72.5</v>
      </c>
      <c r="B32" s="3">
        <v>0.50681712962962966</v>
      </c>
      <c r="C32" s="2">
        <v>37.632941666666667</v>
      </c>
      <c r="D32" s="2">
        <v>141.01356166666667</v>
      </c>
      <c r="E32" s="4">
        <v>11.2972</v>
      </c>
      <c r="F32" s="5">
        <v>90.5</v>
      </c>
      <c r="G32">
        <v>-74</v>
      </c>
      <c r="H32" s="2">
        <v>37.632946666666662</v>
      </c>
      <c r="I32" s="2">
        <v>141.01375999999999</v>
      </c>
      <c r="J32" s="4">
        <v>0</v>
      </c>
      <c r="K32" s="5">
        <v>0</v>
      </c>
      <c r="L32">
        <v>-53</v>
      </c>
      <c r="M32" s="2">
        <v>37.632939999999998</v>
      </c>
      <c r="N32" s="2">
        <v>141.01354666666666</v>
      </c>
      <c r="O32" s="4">
        <v>11.2972</v>
      </c>
      <c r="P32" s="5">
        <v>90.5</v>
      </c>
      <c r="Q32" s="2">
        <v>18.822085889496115</v>
      </c>
      <c r="R32" t="s">
        <v>147</v>
      </c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2110-27D8-44E4-B011-AEDA5A656077}">
  <sheetPr codeName="Sheet178"/>
  <dimension ref="A1:R14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0.50793981481481476</v>
      </c>
      <c r="C2" s="2">
        <v>37.63294333333333</v>
      </c>
      <c r="D2" s="2">
        <v>141.01270666666667</v>
      </c>
      <c r="E2" s="4">
        <v>15.001200000000001</v>
      </c>
      <c r="F2" s="5">
        <v>83.7</v>
      </c>
      <c r="G2">
        <v>-76</v>
      </c>
      <c r="H2" s="2">
        <v>37.632953333333333</v>
      </c>
      <c r="I2" s="2">
        <v>141.01373333333333</v>
      </c>
      <c r="J2" s="4">
        <v>0</v>
      </c>
      <c r="K2" s="5">
        <v>0</v>
      </c>
      <c r="L2">
        <v>-74</v>
      </c>
      <c r="M2" s="2">
        <v>37.632946666666662</v>
      </c>
      <c r="N2" s="2">
        <v>141.01269333333332</v>
      </c>
      <c r="O2" s="4">
        <v>15.001200000000001</v>
      </c>
      <c r="P2" s="5">
        <v>83.7</v>
      </c>
      <c r="Q2" s="2">
        <v>91.687559631887481</v>
      </c>
      <c r="R2" t="s">
        <v>149</v>
      </c>
    </row>
    <row r="3" spans="1:18" x14ac:dyDescent="0.7">
      <c r="A3">
        <v>27.5</v>
      </c>
      <c r="B3" s="3">
        <v>0.50799768518518518</v>
      </c>
      <c r="C3" s="2">
        <v>37.632936666666666</v>
      </c>
      <c r="D3" s="2">
        <v>141.01301833333335</v>
      </c>
      <c r="E3" s="4">
        <v>20.001600000000003</v>
      </c>
      <c r="F3" s="5">
        <v>88.9</v>
      </c>
      <c r="G3">
        <v>-75</v>
      </c>
      <c r="H3" s="2">
        <v>37.632946666666662</v>
      </c>
      <c r="I3" s="2">
        <v>141.01370666666665</v>
      </c>
      <c r="J3" s="4">
        <v>0</v>
      </c>
      <c r="K3" s="5">
        <v>0</v>
      </c>
      <c r="L3">
        <v>-67</v>
      </c>
      <c r="M3" s="2">
        <v>37.632933333333334</v>
      </c>
      <c r="N3" s="2">
        <v>141.01301333333333</v>
      </c>
      <c r="O3" s="4">
        <v>20.0016</v>
      </c>
      <c r="P3" s="5">
        <v>88.9</v>
      </c>
      <c r="Q3" s="2">
        <v>61.141186434517955</v>
      </c>
      <c r="R3" t="s">
        <v>149</v>
      </c>
    </row>
    <row r="4" spans="1:18" x14ac:dyDescent="0.7">
      <c r="A4">
        <v>32.5</v>
      </c>
      <c r="B4" s="3">
        <v>0.50800925925925922</v>
      </c>
      <c r="C4" s="2">
        <v>37.632939999999998</v>
      </c>
      <c r="D4" s="2">
        <v>141.01308166666666</v>
      </c>
      <c r="E4" s="4">
        <v>19.446000000000002</v>
      </c>
      <c r="F4" s="5">
        <v>88.7</v>
      </c>
      <c r="G4">
        <v>-76</v>
      </c>
      <c r="H4" s="2">
        <v>37.632946666666662</v>
      </c>
      <c r="I4" s="2">
        <v>141.01370666666665</v>
      </c>
      <c r="J4" s="4">
        <v>0</v>
      </c>
      <c r="K4" s="5">
        <v>0</v>
      </c>
      <c r="L4">
        <v>-64</v>
      </c>
      <c r="M4" s="2">
        <v>37.632939999999998</v>
      </c>
      <c r="N4" s="2">
        <v>141.01309333333333</v>
      </c>
      <c r="O4" s="4">
        <v>19.446000000000002</v>
      </c>
      <c r="P4" s="5">
        <v>88.7</v>
      </c>
      <c r="Q4" s="2">
        <v>54.075440220287085</v>
      </c>
      <c r="R4" t="s">
        <v>149</v>
      </c>
    </row>
    <row r="5" spans="1:18" x14ac:dyDescent="0.7">
      <c r="A5">
        <v>42.5</v>
      </c>
      <c r="B5" s="3">
        <v>0.5080324074074074</v>
      </c>
      <c r="C5" s="2">
        <v>37.63294333333333</v>
      </c>
      <c r="D5" s="2">
        <v>141.01320333333334</v>
      </c>
      <c r="E5" s="4">
        <v>19.446000000000002</v>
      </c>
      <c r="F5" s="5">
        <v>89.2</v>
      </c>
      <c r="G5">
        <v>-77</v>
      </c>
      <c r="H5" s="2">
        <v>37.632946666666662</v>
      </c>
      <c r="I5" s="2">
        <v>141.01370666666665</v>
      </c>
      <c r="J5" s="4">
        <v>0</v>
      </c>
      <c r="K5" s="5">
        <v>0</v>
      </c>
      <c r="L5">
        <v>-64</v>
      </c>
      <c r="M5" s="2">
        <v>37.632946666666662</v>
      </c>
      <c r="N5" s="2">
        <v>141.01319999999998</v>
      </c>
      <c r="O5" s="4">
        <v>19.446000000000002</v>
      </c>
      <c r="P5" s="5">
        <v>89.2</v>
      </c>
      <c r="Q5" s="2">
        <v>44.666945461577733</v>
      </c>
      <c r="R5" t="s">
        <v>149</v>
      </c>
    </row>
    <row r="6" spans="1:18" x14ac:dyDescent="0.7">
      <c r="A6">
        <v>47.5</v>
      </c>
      <c r="B6" s="3">
        <v>0.50804398148148155</v>
      </c>
      <c r="C6" s="2">
        <v>37.632944999999999</v>
      </c>
      <c r="D6" s="2">
        <v>141.01326499999999</v>
      </c>
      <c r="E6" s="4">
        <v>19.446000000000002</v>
      </c>
      <c r="F6" s="5">
        <v>88.6</v>
      </c>
      <c r="G6">
        <v>-70</v>
      </c>
      <c r="H6" s="2">
        <v>37.632953333333333</v>
      </c>
      <c r="I6" s="2">
        <v>141.01285333333331</v>
      </c>
      <c r="J6" s="4">
        <v>0</v>
      </c>
      <c r="K6" s="5">
        <v>0</v>
      </c>
      <c r="L6">
        <v>-85</v>
      </c>
      <c r="M6" s="2">
        <v>37.632946666666662</v>
      </c>
      <c r="N6" s="2">
        <v>141.01328000000001</v>
      </c>
      <c r="O6" s="4">
        <v>19.446000000000002</v>
      </c>
      <c r="P6" s="5">
        <v>88.6</v>
      </c>
      <c r="Q6" s="2">
        <v>37.621489179724549</v>
      </c>
      <c r="R6" t="s">
        <v>149</v>
      </c>
    </row>
    <row r="7" spans="1:18" x14ac:dyDescent="0.7">
      <c r="A7">
        <v>52.5</v>
      </c>
      <c r="B7" s="3">
        <v>0.50804398148148155</v>
      </c>
      <c r="C7" s="2">
        <v>37.632944999999999</v>
      </c>
      <c r="D7" s="2">
        <v>141.01326499999999</v>
      </c>
      <c r="E7" s="4">
        <v>19.446000000000002</v>
      </c>
      <c r="F7" s="5">
        <v>88.6</v>
      </c>
      <c r="G7">
        <v>-70</v>
      </c>
      <c r="H7" s="2">
        <v>37.632953333333333</v>
      </c>
      <c r="I7" s="2">
        <v>141.01285333333331</v>
      </c>
      <c r="J7" s="4">
        <v>0</v>
      </c>
      <c r="K7" s="5">
        <v>0</v>
      </c>
      <c r="L7">
        <v>-85</v>
      </c>
      <c r="M7" s="2">
        <v>37.632946666666662</v>
      </c>
      <c r="N7" s="2">
        <v>141.01328000000001</v>
      </c>
      <c r="O7" s="4">
        <v>19.446000000000002</v>
      </c>
      <c r="P7" s="5">
        <v>88.6</v>
      </c>
      <c r="Q7" s="2">
        <v>37.621489179724549</v>
      </c>
      <c r="R7" t="s">
        <v>149</v>
      </c>
    </row>
    <row r="8" spans="1:18" x14ac:dyDescent="0.7">
      <c r="A8">
        <v>52.5</v>
      </c>
      <c r="B8" s="3">
        <v>0.50805555555555559</v>
      </c>
      <c r="C8" s="2">
        <v>37.632946666666662</v>
      </c>
      <c r="D8" s="2">
        <v>141.01332666666667</v>
      </c>
      <c r="E8" s="4">
        <v>19.446000000000002</v>
      </c>
      <c r="F8" s="5">
        <v>88.4</v>
      </c>
      <c r="G8">
        <v>-70</v>
      </c>
      <c r="H8" s="2">
        <v>37.632946666666662</v>
      </c>
      <c r="I8" s="2">
        <v>141.01285333333331</v>
      </c>
      <c r="J8" s="4">
        <v>0</v>
      </c>
      <c r="K8" s="5">
        <v>0</v>
      </c>
      <c r="L8">
        <v>-88</v>
      </c>
      <c r="M8" s="2">
        <v>37.632946666666662</v>
      </c>
      <c r="N8" s="2">
        <v>141.01330666666667</v>
      </c>
      <c r="O8" s="4">
        <v>19.446000000000002</v>
      </c>
      <c r="P8" s="5">
        <v>88.4</v>
      </c>
      <c r="Q8" s="2">
        <v>39.965210562956173</v>
      </c>
      <c r="R8" t="s">
        <v>149</v>
      </c>
    </row>
    <row r="9" spans="1:18" x14ac:dyDescent="0.7">
      <c r="A9">
        <v>57.5</v>
      </c>
      <c r="B9" s="3">
        <v>0.50805555555555559</v>
      </c>
      <c r="C9" s="2">
        <v>37.632946666666662</v>
      </c>
      <c r="D9" s="2">
        <v>141.01332666666667</v>
      </c>
      <c r="E9" s="4">
        <v>19.446000000000002</v>
      </c>
      <c r="F9" s="5">
        <v>88.4</v>
      </c>
      <c r="G9">
        <v>-70</v>
      </c>
      <c r="H9" s="2">
        <v>37.632946666666662</v>
      </c>
      <c r="I9" s="2">
        <v>141.01285333333331</v>
      </c>
      <c r="J9" s="4">
        <v>0</v>
      </c>
      <c r="K9" s="5">
        <v>0</v>
      </c>
      <c r="L9">
        <v>-88</v>
      </c>
      <c r="M9" s="2">
        <v>37.632946666666662</v>
      </c>
      <c r="N9" s="2">
        <v>141.01330666666667</v>
      </c>
      <c r="O9" s="4">
        <v>19.446000000000002</v>
      </c>
      <c r="P9" s="5">
        <v>88.4</v>
      </c>
      <c r="Q9" s="2">
        <v>39.965210562956173</v>
      </c>
      <c r="R9" t="s">
        <v>149</v>
      </c>
    </row>
    <row r="10" spans="1:18" x14ac:dyDescent="0.7">
      <c r="A10">
        <v>57.5</v>
      </c>
      <c r="B10" s="3">
        <v>0.50806712962962963</v>
      </c>
      <c r="C10" s="2">
        <v>37.63294333333333</v>
      </c>
      <c r="D10" s="2">
        <v>141.01339000000002</v>
      </c>
      <c r="E10" s="4">
        <v>19.816399999999998</v>
      </c>
      <c r="F10" s="5">
        <v>89.5</v>
      </c>
      <c r="G10">
        <v>-70</v>
      </c>
      <c r="H10" s="2">
        <v>37.632946666666662</v>
      </c>
      <c r="I10" s="2">
        <v>141.01285333333331</v>
      </c>
      <c r="J10" s="4">
        <v>0</v>
      </c>
      <c r="K10" s="5">
        <v>0</v>
      </c>
      <c r="L10">
        <v>-81</v>
      </c>
      <c r="M10" s="2">
        <v>37.632946666666662</v>
      </c>
      <c r="N10" s="2">
        <v>141.01338666666666</v>
      </c>
      <c r="O10" s="4">
        <v>19.816400000000002</v>
      </c>
      <c r="P10" s="5">
        <v>89.5</v>
      </c>
      <c r="Q10" s="2">
        <v>47.017766813988615</v>
      </c>
      <c r="R10" t="s">
        <v>149</v>
      </c>
    </row>
    <row r="11" spans="1:18" x14ac:dyDescent="0.7">
      <c r="A11">
        <v>62.5</v>
      </c>
      <c r="B11" s="3">
        <v>0.50806712962962963</v>
      </c>
      <c r="C11" s="2">
        <v>37.63294333333333</v>
      </c>
      <c r="D11" s="2">
        <v>141.01339000000002</v>
      </c>
      <c r="E11" s="4">
        <v>19.816399999999998</v>
      </c>
      <c r="F11" s="5">
        <v>89.5</v>
      </c>
      <c r="G11">
        <v>-70</v>
      </c>
      <c r="H11" s="2">
        <v>37.632946666666662</v>
      </c>
      <c r="I11" s="2">
        <v>141.01285333333331</v>
      </c>
      <c r="J11" s="4">
        <v>0</v>
      </c>
      <c r="K11" s="5">
        <v>0</v>
      </c>
      <c r="L11">
        <v>-81</v>
      </c>
      <c r="M11" s="2">
        <v>37.632946666666662</v>
      </c>
      <c r="N11" s="2">
        <v>141.01338666666666</v>
      </c>
      <c r="O11" s="4">
        <v>19.816400000000002</v>
      </c>
      <c r="P11" s="5">
        <v>89.5</v>
      </c>
      <c r="Q11" s="2">
        <v>47.017766813988615</v>
      </c>
      <c r="R11" t="s">
        <v>149</v>
      </c>
    </row>
    <row r="12" spans="1:18" x14ac:dyDescent="0.7">
      <c r="A12">
        <v>67.5</v>
      </c>
      <c r="B12" s="3">
        <v>0.50807870370370367</v>
      </c>
      <c r="C12" s="2">
        <v>37.63294333333333</v>
      </c>
      <c r="D12" s="2">
        <v>141.01345166666667</v>
      </c>
      <c r="E12" s="4">
        <v>19.446000000000002</v>
      </c>
      <c r="F12" s="5">
        <v>89.5</v>
      </c>
      <c r="G12">
        <v>-70</v>
      </c>
      <c r="H12" s="2">
        <v>37.632946666666662</v>
      </c>
      <c r="I12" s="2">
        <v>141.01285333333331</v>
      </c>
      <c r="J12" s="4">
        <v>0</v>
      </c>
      <c r="K12" s="5">
        <v>0</v>
      </c>
      <c r="L12">
        <v>-87</v>
      </c>
      <c r="M12" s="2">
        <v>37.632946666666662</v>
      </c>
      <c r="N12" s="2">
        <v>141.01344</v>
      </c>
      <c r="O12" s="4">
        <v>19.446000000000002</v>
      </c>
      <c r="P12" s="5">
        <v>89.5</v>
      </c>
      <c r="Q12" s="2">
        <v>51.719600256789377</v>
      </c>
      <c r="R12" t="s">
        <v>149</v>
      </c>
    </row>
    <row r="13" spans="1:18" x14ac:dyDescent="0.7">
      <c r="A13">
        <v>67.5</v>
      </c>
      <c r="B13" s="3">
        <v>0.50809027777777771</v>
      </c>
      <c r="C13" s="2">
        <v>37.632941666666667</v>
      </c>
      <c r="D13" s="2">
        <v>141.01351500000001</v>
      </c>
      <c r="E13" s="4">
        <v>19.446000000000002</v>
      </c>
      <c r="F13" s="5">
        <v>88.9</v>
      </c>
      <c r="G13">
        <v>-70</v>
      </c>
      <c r="H13" s="2">
        <v>37.632946666666662</v>
      </c>
      <c r="I13" s="2">
        <v>141.01285333333331</v>
      </c>
      <c r="J13" s="4">
        <v>0</v>
      </c>
      <c r="K13" s="5">
        <v>0</v>
      </c>
      <c r="L13">
        <v>-101</v>
      </c>
      <c r="M13" s="2">
        <v>37.632939999999998</v>
      </c>
      <c r="N13" s="2">
        <v>141.01352</v>
      </c>
      <c r="O13" s="4">
        <v>19.446000000000002</v>
      </c>
      <c r="P13" s="5">
        <v>88.9</v>
      </c>
      <c r="Q13" s="2">
        <v>58.776785527947524</v>
      </c>
      <c r="R13" t="s">
        <v>149</v>
      </c>
    </row>
    <row r="14" spans="1:18" x14ac:dyDescent="0.7">
      <c r="A14">
        <v>72.5</v>
      </c>
      <c r="B14" s="3">
        <v>0.50809027777777771</v>
      </c>
      <c r="C14" s="2">
        <v>37.632941666666667</v>
      </c>
      <c r="D14" s="2">
        <v>141.01351500000001</v>
      </c>
      <c r="E14" s="4">
        <v>19.446000000000002</v>
      </c>
      <c r="F14" s="5">
        <v>88.9</v>
      </c>
      <c r="G14">
        <v>-70</v>
      </c>
      <c r="H14" s="2">
        <v>37.632946666666662</v>
      </c>
      <c r="I14" s="2">
        <v>141.01285333333331</v>
      </c>
      <c r="J14" s="4">
        <v>0</v>
      </c>
      <c r="K14" s="5">
        <v>0</v>
      </c>
      <c r="L14">
        <v>-101</v>
      </c>
      <c r="M14" s="2">
        <v>37.632939999999998</v>
      </c>
      <c r="N14" s="2">
        <v>141.01352</v>
      </c>
      <c r="O14" s="4">
        <v>19.446000000000002</v>
      </c>
      <c r="P14" s="5">
        <v>88.9</v>
      </c>
      <c r="Q14" s="2">
        <v>58.776785527947524</v>
      </c>
      <c r="R14" t="s">
        <v>149</v>
      </c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BD707-E736-432E-AF20-A3ECA4170744}">
  <sheetPr codeName="Sheet179"/>
  <dimension ref="A1:R8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0.51634259259259263</v>
      </c>
      <c r="C2" s="2">
        <v>37.632951666666671</v>
      </c>
      <c r="D2" s="2">
        <v>141.01273333333333</v>
      </c>
      <c r="E2" s="4">
        <v>36.299200000000006</v>
      </c>
      <c r="F2" s="5">
        <v>90</v>
      </c>
      <c r="G2">
        <v>-68</v>
      </c>
      <c r="H2" s="2">
        <v>37.633013333333331</v>
      </c>
      <c r="I2" s="2">
        <v>141.01290666666668</v>
      </c>
      <c r="J2" s="4">
        <v>0</v>
      </c>
      <c r="K2" s="5">
        <v>0</v>
      </c>
      <c r="L2">
        <v>-72</v>
      </c>
      <c r="M2" s="2">
        <v>37.632946666666662</v>
      </c>
      <c r="N2" s="2">
        <v>141.01274666666669</v>
      </c>
      <c r="O2" s="4">
        <v>36.299199999999999</v>
      </c>
      <c r="P2" s="5">
        <v>90</v>
      </c>
      <c r="Q2" s="2">
        <v>15.938402116780987</v>
      </c>
      <c r="R2" t="s">
        <v>151</v>
      </c>
    </row>
    <row r="3" spans="1:18" x14ac:dyDescent="0.7">
      <c r="A3">
        <v>7.5</v>
      </c>
      <c r="B3" s="3">
        <v>0.51635416666666667</v>
      </c>
      <c r="C3" s="2">
        <v>37.632950000000001</v>
      </c>
      <c r="D3" s="2">
        <v>141.01282</v>
      </c>
      <c r="E3" s="4">
        <v>36.299200000000006</v>
      </c>
      <c r="F3" s="5">
        <v>90.3</v>
      </c>
      <c r="G3">
        <v>-76</v>
      </c>
      <c r="H3" s="2">
        <v>37.633013333333331</v>
      </c>
      <c r="I3" s="2">
        <v>141.01290666666668</v>
      </c>
      <c r="J3" s="4">
        <v>0</v>
      </c>
      <c r="K3" s="5">
        <v>0</v>
      </c>
      <c r="L3">
        <v>-80</v>
      </c>
      <c r="M3" s="2">
        <v>37.632946666666662</v>
      </c>
      <c r="N3" s="2">
        <v>141.01282666666665</v>
      </c>
      <c r="O3" s="4">
        <v>36.299199999999999</v>
      </c>
      <c r="P3" s="5">
        <v>90.3</v>
      </c>
      <c r="Q3" s="2">
        <v>10.238063439165638</v>
      </c>
      <c r="R3" t="s">
        <v>151</v>
      </c>
    </row>
    <row r="4" spans="1:18" x14ac:dyDescent="0.7">
      <c r="A4">
        <v>27.5</v>
      </c>
      <c r="B4" s="3">
        <v>0.51637731481481486</v>
      </c>
      <c r="C4" s="2">
        <v>37.632948333333339</v>
      </c>
      <c r="D4" s="2">
        <v>141.01301000000001</v>
      </c>
      <c r="E4" s="4">
        <v>35.373200000000004</v>
      </c>
      <c r="F4" s="5">
        <v>90.6</v>
      </c>
      <c r="G4">
        <v>-76</v>
      </c>
      <c r="H4" s="2">
        <v>37.633013333333331</v>
      </c>
      <c r="I4" s="2">
        <v>141.01290666666668</v>
      </c>
      <c r="J4" s="4">
        <v>0</v>
      </c>
      <c r="K4" s="5">
        <v>0</v>
      </c>
      <c r="L4">
        <v>-90</v>
      </c>
      <c r="M4" s="2">
        <v>37.632946666666662</v>
      </c>
      <c r="N4" s="2">
        <v>141.01301333333333</v>
      </c>
      <c r="O4" s="4">
        <v>35.373200000000004</v>
      </c>
      <c r="P4" s="5">
        <v>90.6</v>
      </c>
      <c r="Q4" s="2">
        <v>11.979018492058916</v>
      </c>
      <c r="R4" t="s">
        <v>151</v>
      </c>
    </row>
    <row r="5" spans="1:18" x14ac:dyDescent="0.7">
      <c r="A5">
        <v>37.5</v>
      </c>
      <c r="B5" s="3">
        <v>0.5163888888888889</v>
      </c>
      <c r="C5" s="2">
        <v>37.632946666666662</v>
      </c>
      <c r="D5" s="2">
        <v>141.01311666666666</v>
      </c>
      <c r="E5" s="4">
        <v>35.558399999999999</v>
      </c>
      <c r="F5" s="5">
        <v>90.7</v>
      </c>
      <c r="G5">
        <v>-77</v>
      </c>
      <c r="H5" s="2">
        <v>37.633013333333331</v>
      </c>
      <c r="I5" s="2">
        <v>141.01290666666668</v>
      </c>
      <c r="J5" s="4">
        <v>0</v>
      </c>
      <c r="K5" s="5">
        <v>0</v>
      </c>
      <c r="L5">
        <v>-87</v>
      </c>
      <c r="M5" s="2">
        <v>37.632946666666662</v>
      </c>
      <c r="N5" s="2">
        <v>141.01312000000001</v>
      </c>
      <c r="O5" s="4">
        <v>35.558399999999999</v>
      </c>
      <c r="P5" s="5">
        <v>90.7</v>
      </c>
      <c r="Q5" s="2">
        <v>20.218421250927669</v>
      </c>
      <c r="R5" t="s">
        <v>151</v>
      </c>
    </row>
    <row r="6" spans="1:18" x14ac:dyDescent="0.7">
      <c r="A6">
        <v>42.5</v>
      </c>
      <c r="B6" s="3">
        <v>0.51640046296296294</v>
      </c>
      <c r="C6" s="2">
        <v>37.632944999999999</v>
      </c>
      <c r="D6" s="2">
        <v>141.01322999999999</v>
      </c>
      <c r="E6" s="4">
        <v>35.928800000000003</v>
      </c>
      <c r="F6" s="5">
        <v>90.7</v>
      </c>
      <c r="G6">
        <v>-77</v>
      </c>
      <c r="H6" s="2">
        <v>37.633013333333331</v>
      </c>
      <c r="I6" s="2">
        <v>141.01290666666668</v>
      </c>
      <c r="J6" s="4">
        <v>0</v>
      </c>
      <c r="K6" s="5">
        <v>0</v>
      </c>
      <c r="L6">
        <v>-88</v>
      </c>
      <c r="M6" s="2">
        <v>37.632946666666662</v>
      </c>
      <c r="N6" s="2">
        <v>141.01322666666667</v>
      </c>
      <c r="O6" s="4">
        <v>35.928800000000003</v>
      </c>
      <c r="P6" s="5">
        <v>90.7</v>
      </c>
      <c r="Q6" s="2">
        <v>29.17035488630513</v>
      </c>
      <c r="R6" t="s">
        <v>151</v>
      </c>
    </row>
    <row r="7" spans="1:18" x14ac:dyDescent="0.7">
      <c r="A7">
        <v>47.5</v>
      </c>
      <c r="B7" s="3">
        <v>0.51640046296296294</v>
      </c>
      <c r="C7" s="2">
        <v>37.632944999999999</v>
      </c>
      <c r="D7" s="2">
        <v>141.01322999999999</v>
      </c>
      <c r="E7" s="4">
        <v>35.928800000000003</v>
      </c>
      <c r="F7" s="5">
        <v>90.7</v>
      </c>
      <c r="G7">
        <v>-77</v>
      </c>
      <c r="H7" s="2">
        <v>37.633013333333331</v>
      </c>
      <c r="I7" s="2">
        <v>141.01290666666668</v>
      </c>
      <c r="J7" s="4">
        <v>0</v>
      </c>
      <c r="K7" s="5">
        <v>0</v>
      </c>
      <c r="L7">
        <v>-88</v>
      </c>
      <c r="M7" s="2">
        <v>37.632946666666662</v>
      </c>
      <c r="N7" s="2">
        <v>141.01322666666667</v>
      </c>
      <c r="O7" s="4">
        <v>35.928800000000003</v>
      </c>
      <c r="P7" s="5">
        <v>90.7</v>
      </c>
      <c r="Q7" s="2">
        <v>29.17035488630513</v>
      </c>
      <c r="R7" t="s">
        <v>151</v>
      </c>
    </row>
    <row r="8" spans="1:18" x14ac:dyDescent="0.7">
      <c r="A8">
        <v>57.5</v>
      </c>
      <c r="B8" s="3">
        <v>0.51641203703703698</v>
      </c>
      <c r="C8" s="2">
        <v>37.632944999999999</v>
      </c>
      <c r="D8" s="2">
        <v>141.01334666666668</v>
      </c>
      <c r="E8" s="4">
        <v>36.114000000000004</v>
      </c>
      <c r="F8" s="5">
        <v>90.7</v>
      </c>
      <c r="G8">
        <v>-77</v>
      </c>
      <c r="H8" s="2">
        <v>37.633013333333331</v>
      </c>
      <c r="I8" s="2">
        <v>141.01290666666668</v>
      </c>
      <c r="J8" s="4">
        <v>0</v>
      </c>
      <c r="K8" s="5">
        <v>0</v>
      </c>
      <c r="L8">
        <v>-99</v>
      </c>
      <c r="M8" s="2">
        <v>37.632946666666662</v>
      </c>
      <c r="N8" s="2">
        <v>141.01333333333332</v>
      </c>
      <c r="O8" s="4">
        <v>36.114000000000004</v>
      </c>
      <c r="P8" s="5">
        <v>90.7</v>
      </c>
      <c r="Q8" s="2">
        <v>38.339263447241478</v>
      </c>
      <c r="R8" t="s">
        <v>151</v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AF09-263C-4034-830F-341332074961}">
  <sheetPr codeName="Sheet180"/>
  <dimension ref="A1:R15"/>
  <sheetViews>
    <sheetView workbookViewId="0"/>
  </sheetViews>
  <sheetFormatPr defaultRowHeight="17.649999999999999" x14ac:dyDescent="0.7"/>
  <cols>
    <col min="2" max="2" width="10.5625" style="3" customWidth="1"/>
    <col min="3" max="4" width="10.5625" style="2" customWidth="1"/>
    <col min="5" max="5" width="9" style="4"/>
    <col min="6" max="6" width="9" style="5"/>
    <col min="8" max="9" width="10.5625" style="2" customWidth="1"/>
    <col min="10" max="10" width="9" style="4"/>
    <col min="11" max="11" width="9" style="5"/>
    <col min="13" max="14" width="10.5625" style="2" customWidth="1"/>
    <col min="15" max="15" width="9" style="4"/>
    <col min="16" max="16" width="9" style="5"/>
    <col min="17" max="17" width="9" style="2"/>
  </cols>
  <sheetData>
    <row r="1" spans="1:18" x14ac:dyDescent="0.7">
      <c r="A1" t="s">
        <v>113</v>
      </c>
      <c r="B1" s="3" t="s">
        <v>114</v>
      </c>
      <c r="C1" s="2" t="s">
        <v>115</v>
      </c>
      <c r="D1" s="2" t="s">
        <v>116</v>
      </c>
      <c r="E1" s="4" t="s">
        <v>49</v>
      </c>
      <c r="F1" s="5" t="s">
        <v>50</v>
      </c>
      <c r="G1" t="s">
        <v>117</v>
      </c>
      <c r="H1" s="2" t="s">
        <v>118</v>
      </c>
      <c r="I1" s="2" t="s">
        <v>119</v>
      </c>
      <c r="J1" s="4" t="s">
        <v>120</v>
      </c>
      <c r="K1" s="5" t="s">
        <v>121</v>
      </c>
      <c r="L1" t="s">
        <v>122</v>
      </c>
      <c r="M1" s="2" t="s">
        <v>123</v>
      </c>
      <c r="N1" s="2" t="s">
        <v>124</v>
      </c>
      <c r="O1" s="4" t="s">
        <v>125</v>
      </c>
      <c r="P1" s="5" t="s">
        <v>126</v>
      </c>
      <c r="Q1" s="2" t="s">
        <v>127</v>
      </c>
      <c r="R1" t="s">
        <v>128</v>
      </c>
    </row>
    <row r="2" spans="1:18" x14ac:dyDescent="0.7">
      <c r="A2">
        <v>2.5</v>
      </c>
      <c r="B2" s="3">
        <v>0.56603009259259263</v>
      </c>
      <c r="C2" s="2">
        <v>37.632953333333333</v>
      </c>
      <c r="D2" s="2">
        <v>141.01271499999999</v>
      </c>
      <c r="E2" s="4">
        <v>15.186399999999999</v>
      </c>
      <c r="F2" s="5">
        <v>92.5</v>
      </c>
      <c r="G2">
        <v>-76</v>
      </c>
      <c r="H2" s="2">
        <v>37.632966666666668</v>
      </c>
      <c r="I2" s="2">
        <v>141.01285333333331</v>
      </c>
      <c r="J2" s="4">
        <v>0</v>
      </c>
      <c r="K2" s="5">
        <v>0</v>
      </c>
      <c r="L2">
        <v>-40</v>
      </c>
      <c r="M2" s="2">
        <v>37.632946666666662</v>
      </c>
      <c r="N2" s="2">
        <v>141.01272</v>
      </c>
      <c r="O2" s="4">
        <v>15.186400000000001</v>
      </c>
      <c r="P2" s="5">
        <v>92.5</v>
      </c>
      <c r="Q2" s="2">
        <v>11.963172723434898</v>
      </c>
      <c r="R2" t="s">
        <v>153</v>
      </c>
    </row>
    <row r="3" spans="1:18" x14ac:dyDescent="0.7">
      <c r="A3">
        <v>2.5</v>
      </c>
      <c r="B3" s="3">
        <v>0.56604166666666667</v>
      </c>
      <c r="C3" s="2">
        <v>37.632951666666671</v>
      </c>
      <c r="D3" s="2">
        <v>141.012765</v>
      </c>
      <c r="E3" s="4">
        <v>15.927200000000001</v>
      </c>
      <c r="F3" s="5">
        <v>91.9</v>
      </c>
      <c r="G3">
        <v>-77</v>
      </c>
      <c r="H3" s="2">
        <v>37.632966666666668</v>
      </c>
      <c r="I3" s="2">
        <v>141.01285333333331</v>
      </c>
      <c r="J3" s="4">
        <v>0</v>
      </c>
      <c r="K3" s="5">
        <v>0</v>
      </c>
      <c r="L3">
        <v>-58</v>
      </c>
      <c r="M3" s="2">
        <v>37.632946666666662</v>
      </c>
      <c r="N3" s="2">
        <v>141.01277333333334</v>
      </c>
      <c r="O3" s="4">
        <v>15.927200000000001</v>
      </c>
      <c r="P3" s="5">
        <v>91.9</v>
      </c>
      <c r="Q3" s="2">
        <v>7.3961700786524176</v>
      </c>
      <c r="R3" t="s">
        <v>153</v>
      </c>
    </row>
    <row r="4" spans="1:18" x14ac:dyDescent="0.7">
      <c r="A4">
        <v>7.5</v>
      </c>
      <c r="B4" s="3">
        <v>0.56604166666666667</v>
      </c>
      <c r="C4" s="2">
        <v>37.632951666666671</v>
      </c>
      <c r="D4" s="2">
        <v>141.012765</v>
      </c>
      <c r="E4" s="4">
        <v>15.927200000000001</v>
      </c>
      <c r="F4" s="5">
        <v>91.9</v>
      </c>
      <c r="G4">
        <v>-77</v>
      </c>
      <c r="H4" s="2">
        <v>37.632966666666668</v>
      </c>
      <c r="I4" s="2">
        <v>141.01285333333331</v>
      </c>
      <c r="J4" s="4">
        <v>0</v>
      </c>
      <c r="K4" s="5">
        <v>0</v>
      </c>
      <c r="L4">
        <v>-58</v>
      </c>
      <c r="M4" s="2">
        <v>37.632946666666662</v>
      </c>
      <c r="N4" s="2">
        <v>141.01277333333334</v>
      </c>
      <c r="O4" s="4">
        <v>15.927200000000001</v>
      </c>
      <c r="P4" s="5">
        <v>91.9</v>
      </c>
      <c r="Q4" s="2">
        <v>7.3961700786524176</v>
      </c>
      <c r="R4" t="s">
        <v>153</v>
      </c>
    </row>
    <row r="5" spans="1:18" x14ac:dyDescent="0.7">
      <c r="A5">
        <v>7.5</v>
      </c>
      <c r="B5" s="3">
        <v>0.5660532407407407</v>
      </c>
      <c r="C5" s="2">
        <v>37.632951666666671</v>
      </c>
      <c r="D5" s="2">
        <v>141.01282333333333</v>
      </c>
      <c r="E5" s="4">
        <v>16.667999999999999</v>
      </c>
      <c r="F5" s="5">
        <v>91.8</v>
      </c>
      <c r="G5">
        <v>-76</v>
      </c>
      <c r="H5" s="2">
        <v>37.632966666666668</v>
      </c>
      <c r="I5" s="2">
        <v>141.01285333333331</v>
      </c>
      <c r="J5" s="4">
        <v>0</v>
      </c>
      <c r="K5" s="5">
        <v>0</v>
      </c>
      <c r="L5">
        <v>-85</v>
      </c>
      <c r="M5" s="2">
        <v>37.632946666666662</v>
      </c>
      <c r="N5" s="2">
        <v>141.01295999999999</v>
      </c>
      <c r="O5" s="4">
        <v>20.186800000000002</v>
      </c>
      <c r="P5" s="5">
        <v>91.3</v>
      </c>
      <c r="Q5" s="2">
        <v>9.6634503616773682</v>
      </c>
      <c r="R5" t="s">
        <v>153</v>
      </c>
    </row>
    <row r="6" spans="1:18" x14ac:dyDescent="0.7">
      <c r="A6">
        <v>32.5</v>
      </c>
      <c r="B6" s="3">
        <v>0.56609953703703708</v>
      </c>
      <c r="C6" s="2">
        <v>37.632948333333339</v>
      </c>
      <c r="D6" s="2">
        <v>141.01309666666666</v>
      </c>
      <c r="E6" s="4">
        <v>22.409200000000002</v>
      </c>
      <c r="F6" s="5">
        <v>91.2</v>
      </c>
      <c r="G6">
        <v>-77</v>
      </c>
      <c r="H6" s="2">
        <v>37.632960000000004</v>
      </c>
      <c r="I6" s="2">
        <v>141.01375999999999</v>
      </c>
      <c r="J6" s="4">
        <v>0</v>
      </c>
      <c r="K6" s="5">
        <v>313</v>
      </c>
      <c r="L6">
        <v>-86</v>
      </c>
      <c r="M6" s="2">
        <v>37.632946666666662</v>
      </c>
      <c r="N6" s="2">
        <v>141.01312000000001</v>
      </c>
      <c r="O6" s="4">
        <v>22.409200000000002</v>
      </c>
      <c r="P6" s="5">
        <v>91.2</v>
      </c>
      <c r="Q6" s="2">
        <v>56.440816689022711</v>
      </c>
      <c r="R6" t="s">
        <v>153</v>
      </c>
    </row>
    <row r="7" spans="1:18" x14ac:dyDescent="0.7">
      <c r="A7">
        <v>37.5</v>
      </c>
      <c r="B7" s="3">
        <v>0.56609953703703708</v>
      </c>
      <c r="C7" s="2">
        <v>37.632948333333339</v>
      </c>
      <c r="D7" s="2">
        <v>141.01309666666666</v>
      </c>
      <c r="E7" s="4">
        <v>22.409200000000002</v>
      </c>
      <c r="F7" s="5">
        <v>91.2</v>
      </c>
      <c r="G7">
        <v>-77</v>
      </c>
      <c r="H7" s="2">
        <v>37.632960000000004</v>
      </c>
      <c r="I7" s="2">
        <v>141.01375999999999</v>
      </c>
      <c r="J7" s="4">
        <v>0</v>
      </c>
      <c r="K7" s="5">
        <v>313</v>
      </c>
      <c r="L7">
        <v>-86</v>
      </c>
      <c r="M7" s="2">
        <v>37.632946666666662</v>
      </c>
      <c r="N7" s="2">
        <v>141.01312000000001</v>
      </c>
      <c r="O7" s="4">
        <v>22.409200000000002</v>
      </c>
      <c r="P7" s="5">
        <v>91.2</v>
      </c>
      <c r="Q7" s="2">
        <v>56.440816689022711</v>
      </c>
      <c r="R7" t="s">
        <v>153</v>
      </c>
    </row>
    <row r="8" spans="1:18" x14ac:dyDescent="0.7">
      <c r="A8">
        <v>37.5</v>
      </c>
      <c r="B8" s="3">
        <v>0.56611111111111112</v>
      </c>
      <c r="C8" s="2">
        <v>37.632944999999999</v>
      </c>
      <c r="D8" s="2">
        <v>141.01317333333333</v>
      </c>
      <c r="E8" s="4">
        <v>23.520399999999999</v>
      </c>
      <c r="F8" s="5">
        <v>91.7</v>
      </c>
      <c r="G8">
        <v>-78</v>
      </c>
      <c r="H8" s="2">
        <v>37.632960000000004</v>
      </c>
      <c r="I8" s="2">
        <v>141.01375999999999</v>
      </c>
      <c r="J8" s="4">
        <v>0</v>
      </c>
      <c r="K8" s="5">
        <v>313</v>
      </c>
      <c r="L8">
        <v>-82</v>
      </c>
      <c r="M8" s="2">
        <v>37.632946666666662</v>
      </c>
      <c r="N8" s="2">
        <v>141.01317333333333</v>
      </c>
      <c r="O8" s="4">
        <v>23.520400000000002</v>
      </c>
      <c r="P8" s="5">
        <v>91.7</v>
      </c>
      <c r="Q8" s="2">
        <v>51.740903373506391</v>
      </c>
      <c r="R8" t="s">
        <v>153</v>
      </c>
    </row>
    <row r="9" spans="1:18" x14ac:dyDescent="0.7">
      <c r="A9">
        <v>42.5</v>
      </c>
      <c r="B9" s="3">
        <v>0.56611111111111112</v>
      </c>
      <c r="C9" s="2">
        <v>37.632944999999999</v>
      </c>
      <c r="D9" s="2">
        <v>141.01317333333333</v>
      </c>
      <c r="E9" s="4">
        <v>23.520399999999999</v>
      </c>
      <c r="F9" s="5">
        <v>91.7</v>
      </c>
      <c r="G9">
        <v>-78</v>
      </c>
      <c r="H9" s="2">
        <v>37.632960000000004</v>
      </c>
      <c r="I9" s="2">
        <v>141.01375999999999</v>
      </c>
      <c r="J9" s="4">
        <v>0</v>
      </c>
      <c r="K9" s="5">
        <v>313</v>
      </c>
      <c r="L9">
        <v>-82</v>
      </c>
      <c r="M9" s="2">
        <v>37.632946666666662</v>
      </c>
      <c r="N9" s="2">
        <v>141.01317333333333</v>
      </c>
      <c r="O9" s="4">
        <v>23.520400000000002</v>
      </c>
      <c r="P9" s="5">
        <v>91.7</v>
      </c>
      <c r="Q9" s="2">
        <v>51.740903373506391</v>
      </c>
      <c r="R9" t="s">
        <v>153</v>
      </c>
    </row>
    <row r="10" spans="1:18" x14ac:dyDescent="0.7">
      <c r="A10">
        <v>47.5</v>
      </c>
      <c r="B10" s="3">
        <v>0.56612268518518516</v>
      </c>
      <c r="C10" s="2">
        <v>37.632941666666667</v>
      </c>
      <c r="D10" s="2">
        <v>141.01325166666666</v>
      </c>
      <c r="E10" s="4">
        <v>23.705600000000004</v>
      </c>
      <c r="F10" s="5">
        <v>91.8</v>
      </c>
      <c r="G10">
        <v>-78</v>
      </c>
      <c r="H10" s="2">
        <v>37.632960000000004</v>
      </c>
      <c r="I10" s="2">
        <v>141.01375999999999</v>
      </c>
      <c r="J10" s="4">
        <v>0</v>
      </c>
      <c r="K10" s="5">
        <v>313</v>
      </c>
      <c r="L10">
        <v>-85</v>
      </c>
      <c r="M10" s="2">
        <v>37.632939999999998</v>
      </c>
      <c r="N10" s="2">
        <v>141.01325333333335</v>
      </c>
      <c r="O10" s="4">
        <v>23.7056</v>
      </c>
      <c r="P10" s="5">
        <v>91.8</v>
      </c>
      <c r="Q10" s="2">
        <v>44.72232165369028</v>
      </c>
      <c r="R10" t="s">
        <v>153</v>
      </c>
    </row>
    <row r="11" spans="1:18" x14ac:dyDescent="0.7">
      <c r="A11">
        <v>52.5</v>
      </c>
      <c r="B11" s="3">
        <v>0.5661342592592592</v>
      </c>
      <c r="C11" s="2">
        <v>37.632939999999998</v>
      </c>
      <c r="D11" s="2">
        <v>141.01333166666666</v>
      </c>
      <c r="E11" s="4">
        <v>24.816800000000001</v>
      </c>
      <c r="F11" s="5">
        <v>91.7</v>
      </c>
      <c r="G11">
        <v>-77</v>
      </c>
      <c r="H11" s="2">
        <v>37.632960000000004</v>
      </c>
      <c r="I11" s="2">
        <v>141.01375999999999</v>
      </c>
      <c r="J11" s="4">
        <v>0</v>
      </c>
      <c r="K11" s="5">
        <v>313</v>
      </c>
      <c r="L11">
        <v>-73</v>
      </c>
      <c r="M11" s="2">
        <v>37.632939999999998</v>
      </c>
      <c r="N11" s="2">
        <v>141.01333333333332</v>
      </c>
      <c r="O11" s="4">
        <v>24.816800000000001</v>
      </c>
      <c r="P11" s="5">
        <v>91.7</v>
      </c>
      <c r="Q11" s="2">
        <v>37.680028006651021</v>
      </c>
      <c r="R11" t="s">
        <v>153</v>
      </c>
    </row>
    <row r="12" spans="1:18" x14ac:dyDescent="0.7">
      <c r="A12">
        <v>57.5</v>
      </c>
      <c r="B12" s="3">
        <v>0.5661342592592592</v>
      </c>
      <c r="C12" s="2">
        <v>37.632939999999998</v>
      </c>
      <c r="D12" s="2">
        <v>141.01333166666666</v>
      </c>
      <c r="E12" s="4">
        <v>24.816800000000001</v>
      </c>
      <c r="F12" s="5">
        <v>91.7</v>
      </c>
      <c r="G12">
        <v>-77</v>
      </c>
      <c r="H12" s="2">
        <v>37.632960000000004</v>
      </c>
      <c r="I12" s="2">
        <v>141.01375999999999</v>
      </c>
      <c r="J12" s="4">
        <v>0</v>
      </c>
      <c r="K12" s="5">
        <v>313</v>
      </c>
      <c r="L12">
        <v>-73</v>
      </c>
      <c r="M12" s="2">
        <v>37.632939999999998</v>
      </c>
      <c r="N12" s="2">
        <v>141.01333333333332</v>
      </c>
      <c r="O12" s="4">
        <v>24.816800000000001</v>
      </c>
      <c r="P12" s="5">
        <v>91.7</v>
      </c>
      <c r="Q12" s="2">
        <v>37.680028006651021</v>
      </c>
      <c r="R12" t="s">
        <v>153</v>
      </c>
    </row>
    <row r="13" spans="1:18" x14ac:dyDescent="0.7">
      <c r="A13">
        <v>62.5</v>
      </c>
      <c r="B13" s="3">
        <v>0.56614583333333335</v>
      </c>
      <c r="C13" s="2">
        <v>37.632941666666667</v>
      </c>
      <c r="D13" s="2">
        <v>141.01340999999999</v>
      </c>
      <c r="E13" s="4">
        <v>25.372399999999999</v>
      </c>
      <c r="F13" s="5">
        <v>91.4</v>
      </c>
      <c r="G13">
        <v>-75</v>
      </c>
      <c r="H13" s="2">
        <v>37.632960000000004</v>
      </c>
      <c r="I13" s="2">
        <v>141.01375999999999</v>
      </c>
      <c r="J13" s="4">
        <v>0</v>
      </c>
      <c r="K13" s="5">
        <v>313</v>
      </c>
      <c r="L13">
        <v>-59</v>
      </c>
      <c r="M13" s="2">
        <v>37.632939999999998</v>
      </c>
      <c r="N13" s="2">
        <v>141.01338666666666</v>
      </c>
      <c r="O13" s="4">
        <v>25.372400000000003</v>
      </c>
      <c r="P13" s="5">
        <v>91.4</v>
      </c>
      <c r="Q13" s="2">
        <v>32.987667534137074</v>
      </c>
      <c r="R13" t="s">
        <v>153</v>
      </c>
    </row>
    <row r="14" spans="1:18" x14ac:dyDescent="0.7">
      <c r="A14">
        <v>67.5</v>
      </c>
      <c r="B14" s="3">
        <v>0.56615740740740739</v>
      </c>
      <c r="C14" s="2">
        <v>37.632941666666667</v>
      </c>
      <c r="D14" s="2">
        <v>141.01349166666665</v>
      </c>
      <c r="E14" s="4">
        <v>25.557600000000004</v>
      </c>
      <c r="F14" s="5">
        <v>91.2</v>
      </c>
      <c r="G14">
        <v>-76</v>
      </c>
      <c r="H14" s="2">
        <v>37.632960000000004</v>
      </c>
      <c r="I14" s="2">
        <v>141.01375999999999</v>
      </c>
      <c r="J14" s="4">
        <v>0</v>
      </c>
      <c r="K14" s="5">
        <v>313</v>
      </c>
      <c r="L14">
        <v>-52</v>
      </c>
      <c r="M14" s="2">
        <v>37.632939999999998</v>
      </c>
      <c r="N14" s="2">
        <v>141.01349333333334</v>
      </c>
      <c r="O14" s="4">
        <v>25.557600000000001</v>
      </c>
      <c r="P14" s="5">
        <v>91.2</v>
      </c>
      <c r="Q14" s="2">
        <v>23.614167938941737</v>
      </c>
      <c r="R14" t="s">
        <v>153</v>
      </c>
    </row>
    <row r="15" spans="1:18" x14ac:dyDescent="0.7">
      <c r="A15">
        <v>72.5</v>
      </c>
      <c r="B15" s="3">
        <v>0.56616898148148154</v>
      </c>
      <c r="C15" s="2">
        <v>37.632939999999998</v>
      </c>
      <c r="D15" s="2">
        <v>141.01357333333331</v>
      </c>
      <c r="E15" s="4">
        <v>25.557600000000004</v>
      </c>
      <c r="F15" s="5">
        <v>90.9</v>
      </c>
      <c r="G15">
        <v>-75</v>
      </c>
      <c r="H15" s="2">
        <v>37.632960000000004</v>
      </c>
      <c r="I15" s="2">
        <v>141.01375999999999</v>
      </c>
      <c r="J15" s="4">
        <v>0</v>
      </c>
      <c r="K15" s="5">
        <v>313</v>
      </c>
      <c r="L15">
        <v>-34</v>
      </c>
      <c r="M15" s="2">
        <v>37.632939999999998</v>
      </c>
      <c r="N15" s="2">
        <v>141.01357333333331</v>
      </c>
      <c r="O15" s="4">
        <v>25.557600000000001</v>
      </c>
      <c r="P15" s="5">
        <v>90.9</v>
      </c>
      <c r="Q15" s="2">
        <v>16.606199293533489</v>
      </c>
      <c r="R15" t="s">
        <v>153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基準点計測データ</vt:lpstr>
      <vt:lpstr>基準点データまとめ</vt:lpstr>
      <vt:lpstr>基準点データグラフ（緯度）</vt:lpstr>
      <vt:lpstr>基準点データグラフ（経度）</vt:lpstr>
      <vt:lpstr>基準点データグラフ（直線）</vt:lpstr>
      <vt:lpstr>走行データまとめ</vt:lpstr>
      <vt:lpstr>A10km</vt:lpstr>
      <vt:lpstr>B20km</vt:lpstr>
      <vt:lpstr>C10km</vt:lpstr>
      <vt:lpstr>D10km</vt:lpstr>
      <vt:lpstr>E10km</vt:lpstr>
      <vt:lpstr>F20km</vt:lpstr>
      <vt:lpstr>G40km</vt:lpstr>
      <vt:lpstr>H10km</vt:lpstr>
      <vt:lpstr>I20km</vt:lpstr>
      <vt:lpstr>J10km</vt:lpstr>
      <vt:lpstr>K20km</vt:lpstr>
      <vt:lpstr>L30km</vt:lpstr>
      <vt:lpstr>M20km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t.miki</dc:creator>
  <cp:lastModifiedBy>dcno9</cp:lastModifiedBy>
  <dcterms:created xsi:type="dcterms:W3CDTF">2020-02-21T02:20:18Z</dcterms:created>
  <dcterms:modified xsi:type="dcterms:W3CDTF">2020-05-22T07:09:05Z</dcterms:modified>
</cp:coreProperties>
</file>